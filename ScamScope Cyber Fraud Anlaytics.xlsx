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Users\mbingi\Desktop\ScamScope Cyber Fraud Analytics\"/>
    </mc:Choice>
  </mc:AlternateContent>
  <xr:revisionPtr revIDLastSave="0" documentId="13_ncr:1_{0B372D88-44D4-461D-9B02-5F0C8BD9266F}" xr6:coauthVersionLast="47" xr6:coauthVersionMax="47" xr10:uidLastSave="{00000000-0000-0000-0000-000000000000}"/>
  <bookViews>
    <workbookView xWindow="28680" yWindow="-120" windowWidth="29040" windowHeight="15720" activeTab="2" xr2:uid="{00000000-000D-0000-FFFF-FFFF00000000}"/>
  </bookViews>
  <sheets>
    <sheet name="Scam Raw Data" sheetId="1" r:id="rId1"/>
    <sheet name="Pivot _Analysis" sheetId="4" r:id="rId2"/>
    <sheet name="Dashboard" sheetId="3" r:id="rId3"/>
  </sheets>
  <definedNames>
    <definedName name="_xlcn.WorksheetConnection_ScamScope_Raw_Data.xlsxtblScamData1" hidden="1">tblScamData[]</definedName>
    <definedName name="Slicer_Payment_Channel">#N/A</definedName>
    <definedName name="Slicer_Scam_Type">#N/A</definedName>
    <definedName name="Slicer_State">#N/A</definedName>
    <definedName name="Timeline_Complaint_Date">#N/A</definedName>
  </definedNames>
  <calcPr calcId="191029"/>
  <pivotCaches>
    <pivotCache cacheId="761" r:id="rId4"/>
    <pivotCache cacheId="764" r:id="rId5"/>
    <pivotCache cacheId="767" r:id="rId6"/>
    <pivotCache cacheId="770" r:id="rId7"/>
    <pivotCache cacheId="773" r:id="rId8"/>
    <pivotCache cacheId="776" r:id="rId9"/>
    <pivotCache cacheId="779" r:id="rId10"/>
  </pivotCaches>
  <extLst>
    <ext xmlns:x14="http://schemas.microsoft.com/office/spreadsheetml/2009/9/main" uri="{876F7934-8845-4945-9796-88D515C7AA90}">
      <x14:pivotCaches>
        <pivotCache cacheId="130"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camData" name="tblScamData" connection="WorksheetConnection_ScamScope_Raw_Data.xlsx!tblScamData"/>
        </x15:modelTables>
        <x15:extLst>
          <ext xmlns:x16="http://schemas.microsoft.com/office/spreadsheetml/2014/11/main" uri="{9835A34E-60A6-4A7C-AAB8-D5F71C897F49}">
            <x16:modelTimeGroupings>
              <x16:modelTimeGrouping tableName="tblScamData" columnName="Complaint_Date" columnId="Complaint_Date">
                <x16:calculatedTimeColumn columnName="Complaint_Date (Year)" columnId="Complaint_Date (Year)" contentType="years" isSelected="1"/>
                <x16:calculatedTimeColumn columnName="Complaint_Date (Month Index)" columnId="Complaint_Date (Month Index)" contentType="monthsindex" isSelected="1"/>
                <x16:calculatedTimeColumn columnName="Complaint_Date (Month)" columnId="Complain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L3" i="1"/>
  <c r="L4" i="1"/>
  <c r="L5" i="1"/>
  <c r="L6" i="1"/>
  <c r="L7" i="1"/>
  <c r="L8" i="1"/>
  <c r="L9" i="1"/>
  <c r="L10" i="1"/>
  <c r="L11" i="1"/>
  <c r="L12" i="1"/>
  <c r="L13" i="1"/>
  <c r="L14" i="1"/>
  <c r="L15" i="1"/>
  <c r="L16" i="1"/>
  <c r="L17" i="1"/>
  <c r="L18" i="1"/>
  <c r="L19" i="1"/>
  <c r="L20" i="1"/>
  <c r="L21" i="1"/>
  <c r="L2" i="1"/>
  <c r="K3" i="1"/>
  <c r="K4" i="1"/>
  <c r="K5" i="1"/>
  <c r="K6" i="1"/>
  <c r="K7" i="1"/>
  <c r="K8" i="1"/>
  <c r="K9" i="1"/>
  <c r="K10" i="1"/>
  <c r="K11" i="1"/>
  <c r="K12" i="1"/>
  <c r="K13" i="1"/>
  <c r="K14" i="1"/>
  <c r="K15" i="1"/>
  <c r="K16" i="1"/>
  <c r="K17" i="1"/>
  <c r="K18" i="1"/>
  <c r="K19" i="1"/>
  <c r="K20" i="1"/>
  <c r="K2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47FE5E-F5DB-4E38-8DA6-90448A63E7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68767B-7DA6-4023-A3C1-77756ED99537}" name="WorksheetConnection_ScamScope_Raw_Data.xlsx!tblScamData" type="102" refreshedVersion="8" minRefreshableVersion="5">
    <extLst>
      <ext xmlns:x15="http://schemas.microsoft.com/office/spreadsheetml/2010/11/main" uri="{DE250136-89BD-433C-8126-D09CA5730AF9}">
        <x15:connection id="tblScamData" autoDelete="1">
          <x15:rangePr sourceName="_xlcn.WorksheetConnection_ScamScope_Raw_Data.xlsxtblScamData1"/>
        </x15:connection>
      </ext>
    </extLst>
  </connection>
</connections>
</file>

<file path=xl/sharedStrings.xml><?xml version="1.0" encoding="utf-8"?>
<sst xmlns="http://schemas.openxmlformats.org/spreadsheetml/2006/main" count="164" uniqueCount="94">
  <si>
    <t>Complaint_ID</t>
  </si>
  <si>
    <t>Complaint_Date</t>
  </si>
  <si>
    <t>Scam_Type</t>
  </si>
  <si>
    <t>Scam_Method</t>
  </si>
  <si>
    <t>Payment_Channel</t>
  </si>
  <si>
    <t>Amount_Lost_INR</t>
  </si>
  <si>
    <t>Amount_Recovered_INR</t>
  </si>
  <si>
    <t>Amount_On_Hold_INR</t>
  </si>
  <si>
    <t>State</t>
  </si>
  <si>
    <t>Case_Status</t>
  </si>
  <si>
    <t>SC001</t>
  </si>
  <si>
    <t>UPI Scam</t>
  </si>
  <si>
    <t>Fake payment request</t>
  </si>
  <si>
    <t>UPI</t>
  </si>
  <si>
    <t>Maharashtra</t>
  </si>
  <si>
    <t>Reported</t>
  </si>
  <si>
    <t>SC002</t>
  </si>
  <si>
    <t>Phishing</t>
  </si>
  <si>
    <t>Fake bank KYC link</t>
  </si>
  <si>
    <t>Net Banking</t>
  </si>
  <si>
    <t>Telangana</t>
  </si>
  <si>
    <t>Partially Recovered</t>
  </si>
  <si>
    <t>SC003</t>
  </si>
  <si>
    <t>Fake Customer Care</t>
  </si>
  <si>
    <t>Impersonated support agent</t>
  </si>
  <si>
    <t>Karnataka</t>
  </si>
  <si>
    <t>SC004</t>
  </si>
  <si>
    <t>Investment Scam</t>
  </si>
  <si>
    <t>Fake investment app</t>
  </si>
  <si>
    <t>Bank Transfer</t>
  </si>
  <si>
    <t>Delhi</t>
  </si>
  <si>
    <t>Under Investigation</t>
  </si>
  <si>
    <t>SC005</t>
  </si>
  <si>
    <t>OTP Fraud</t>
  </si>
  <si>
    <t>OTP shared after phone call</t>
  </si>
  <si>
    <t>Card</t>
  </si>
  <si>
    <t>Uttar Pradesh</t>
  </si>
  <si>
    <t>SC006</t>
  </si>
  <si>
    <t>Fake Job Offer</t>
  </si>
  <si>
    <t>Registration fee scam</t>
  </si>
  <si>
    <t>Tamil Nadu</t>
  </si>
  <si>
    <t>SC007</t>
  </si>
  <si>
    <t>Impersonation</t>
  </si>
  <si>
    <t>Fake identity and money request</t>
  </si>
  <si>
    <t>Kerala</t>
  </si>
  <si>
    <t>SC008</t>
  </si>
  <si>
    <t>Fake parcel delivery message</t>
  </si>
  <si>
    <t>Gujarat</t>
  </si>
  <si>
    <t>Recovered</t>
  </si>
  <si>
    <t>SC009</t>
  </si>
  <si>
    <t>QR-code payment trick</t>
  </si>
  <si>
    <t>Rajasthan</t>
  </si>
  <si>
    <t>SC010</t>
  </si>
  <si>
    <t>Guaranteed-return promise</t>
  </si>
  <si>
    <t>SC011</t>
  </si>
  <si>
    <t>Fake refund assistance</t>
  </si>
  <si>
    <t>SC012</t>
  </si>
  <si>
    <t>Caller impersonated bank staff</t>
  </si>
  <si>
    <t>Andhra Pradesh</t>
  </si>
  <si>
    <t>SC013</t>
  </si>
  <si>
    <t>Work-from-home task scam</t>
  </si>
  <si>
    <t>West Bengal</t>
  </si>
  <si>
    <t>SC014</t>
  </si>
  <si>
    <t>Fake account suspension alert</t>
  </si>
  <si>
    <t>SC015</t>
  </si>
  <si>
    <t>Collect-request confusion</t>
  </si>
  <si>
    <t>Madhya Pradesh</t>
  </si>
  <si>
    <t>SC016</t>
  </si>
  <si>
    <t>Fake crypto trading group</t>
  </si>
  <si>
    <t>SC017</t>
  </si>
  <si>
    <t>Remote-access app trick</t>
  </si>
  <si>
    <t>Haryana</t>
  </si>
  <si>
    <t>SC018</t>
  </si>
  <si>
    <t>OTP shared with impersonator</t>
  </si>
  <si>
    <t>SC019</t>
  </si>
  <si>
    <t>Paid training scam</t>
  </si>
  <si>
    <t>Odisha</t>
  </si>
  <si>
    <t>SC020</t>
  </si>
  <si>
    <t>Fake reward claim website</t>
  </si>
  <si>
    <t>Punjab</t>
  </si>
  <si>
    <t>Unrecovered_Amount_INR</t>
  </si>
  <si>
    <t>Recovery_Rate</t>
  </si>
  <si>
    <t>Count of Complaint_ID</t>
  </si>
  <si>
    <t>Sum of Amount_Lost_INR</t>
  </si>
  <si>
    <t>Sum of Amount_Recovered_INR</t>
  </si>
  <si>
    <t>Row Labels</t>
  </si>
  <si>
    <t>Grand Total</t>
  </si>
  <si>
    <t>Total Money Lost by Scam Type</t>
  </si>
  <si>
    <t>Jan</t>
  </si>
  <si>
    <t>Feb</t>
  </si>
  <si>
    <t>Mar</t>
  </si>
  <si>
    <t>2026</t>
  </si>
  <si>
    <t>Monthly Cyber Fraud Complaints</t>
  </si>
  <si>
    <t>Sum of Unrecovered_Amount_INR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</si>
</sst>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13809]d\ mmm\ yyyy;@"/>
    <numFmt numFmtId="166" formatCode="&quot;₹&quot;\ #,##0.00"/>
  </numFmts>
  <fonts count="2" x14ac:knownFonts="1">
    <font>
      <sz val="11"/>
      <color theme="1"/>
      <name val="Calibri"/>
      <family val="2"/>
      <scheme val="minor"/>
    </font>
    <font>
      <sz val="3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5" fontId="0" fillId="0" borderId="0" xfId="0" applyNumberFormat="1"/>
    <xf numFmtId="166" fontId="0" fillId="0" borderId="0" xfId="0" applyNumberFormat="1"/>
    <xf numFmtId="10"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23">
    <dxf>
      <font>
        <sz val="11"/>
        <color theme="0"/>
        <name val="Aptos ExtraBold"/>
        <family val="2"/>
        <scheme val="none"/>
      </font>
      <fill>
        <patternFill>
          <bgColor rgb="FF7F1D3A"/>
        </patternFill>
      </fill>
    </dxf>
    <dxf>
      <fill>
        <patternFill patternType="solid">
          <fgColor theme="0"/>
          <bgColor rgb="FFFFF8F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FFF8F0"/>
        </patternFill>
      </fill>
    </dxf>
    <dxf>
      <font>
        <color rgb="FFFFFFFF"/>
        <name val="Aptos ExtraBold"/>
        <family val="2"/>
        <scheme val="none"/>
      </font>
      <fill>
        <patternFill>
          <bgColor rgb="FF7F1D3A"/>
        </patternFill>
      </fill>
    </dxf>
    <dxf>
      <fill>
        <patternFill>
          <bgColor rgb="FF006D77"/>
        </patternFill>
      </fill>
    </dxf>
    <dxf>
      <fill>
        <patternFill>
          <bgColor rgb="FFF5F7FA"/>
        </patternFill>
      </fill>
    </dxf>
    <dxf>
      <fill>
        <patternFill>
          <bgColor rgb="FF172B4D"/>
        </patternFill>
      </fill>
    </dxf>
    <dxf>
      <font>
        <b/>
        <sz val="11"/>
        <color theme="1"/>
      </font>
      <fill>
        <patternFill>
          <bgColor rgb="FF172B4D"/>
        </patternFill>
      </fill>
    </dxf>
    <dxf>
      <fill>
        <patternFill patternType="solid">
          <fgColor theme="0"/>
          <bgColor rgb="FFF5F7FA"/>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172B4D"/>
        </patternFill>
      </fill>
    </dxf>
    <dxf>
      <fill>
        <patternFill>
          <bgColor rgb="FFF5F7FA"/>
        </patternFill>
      </fill>
    </dxf>
    <dxf>
      <fill>
        <patternFill>
          <bgColor rgb="FF172B4D"/>
        </patternFill>
      </fill>
    </dxf>
    <dxf>
      <fill>
        <patternFill>
          <bgColor rgb="FFF5F7FA"/>
        </patternFill>
      </fill>
    </dxf>
    <dxf>
      <fill>
        <patternFill>
          <bgColor rgb="FFF5F7FA"/>
        </patternFill>
      </fill>
    </dxf>
    <dxf>
      <fill>
        <patternFill>
          <bgColor rgb="FF172B4D"/>
        </patternFill>
      </fill>
    </dxf>
    <dxf>
      <font>
        <b/>
        <sz val="11"/>
        <color theme="1"/>
      </font>
      <fill>
        <patternFill>
          <bgColor rgb="FF172B4D"/>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4" formatCode="0.00%"/>
    </dxf>
    <dxf>
      <numFmt numFmtId="166" formatCode="&quot;₹&quot;\ #,##0.00"/>
    </dxf>
    <dxf>
      <numFmt numFmtId="166" formatCode="&quot;₹&quot;\ #,##0.00"/>
    </dxf>
    <dxf>
      <numFmt numFmtId="166" formatCode="&quot;₹&quot;\ #,##0.00"/>
    </dxf>
    <dxf>
      <numFmt numFmtId="166" formatCode="&quot;₹&quot;\ #,##0.00"/>
    </dxf>
    <dxf>
      <numFmt numFmtId="165" formatCode="[$-13809]d\ mmm\ yyyy;@"/>
    </dxf>
  </dxfs>
  <tableStyles count="10" defaultTableStyle="TableStyleMedium2" defaultPivotStyle="PivotStyleLight16">
    <tableStyle name="Slicer Style 1" pivot="0" table="0" count="1" xr9:uid="{4AD195B8-AAB8-4F1D-953B-30D1BFA407E2}">
      <tableStyleElement type="headerRow" dxfId="14"/>
    </tableStyle>
    <tableStyle name="Slicer Style 2" pivot="0" table="0" count="2" xr9:uid="{44B01A2A-D434-4CE1-9921-3BB7B8A723C9}">
      <tableStyleElement type="wholeTable" dxfId="13"/>
    </tableStyle>
    <tableStyle name="Slicer Style 3" pivot="0" table="0" count="3" xr9:uid="{A7BD2FAF-6E1E-4828-808F-C54DD9667B44}">
      <tableStyleElement type="wholeTable" dxfId="12"/>
      <tableStyleElement type="headerRow" dxfId="11"/>
    </tableStyle>
    <tableStyle name="Slicer Style 4" pivot="0" table="0" count="3" xr9:uid="{D5F0395E-D927-4998-AE60-D687B1947992}">
      <tableStyleElement type="wholeTable" dxfId="10"/>
      <tableStyleElement type="headerRow" dxfId="9"/>
    </tableStyle>
    <tableStyle name="Slicer Style 5" pivot="0" table="0" count="3" xr9:uid="{9AEE49F0-8577-46F6-81EC-F47FB62E53BD}">
      <tableStyleElement type="wholeTable" dxfId="5"/>
      <tableStyleElement type="headerRow" dxfId="6"/>
    </tableStyle>
    <tableStyle name="Slicer Style 6" pivot="0" table="0" count="1" xr9:uid="{D56222A4-2FB0-4C7C-A5BB-08C910B19D4A}">
      <tableStyleElement type="headerRow" dxfId="4"/>
    </tableStyle>
    <tableStyle name="Slicer Style 7" pivot="0" table="0" count="4" xr9:uid="{0EF5BF73-4353-477D-83E4-5E30EFF8B7E5}">
      <tableStyleElement type="wholeTable" dxfId="2"/>
      <tableStyleElement type="headerRow" dxfId="3"/>
    </tableStyle>
    <tableStyle name="Timeline Style 1" pivot="0" table="0" count="8" xr9:uid="{E626179E-B04D-468C-9B2C-D6E3E9049094}">
      <tableStyleElement type="wholeTable" dxfId="16"/>
      <tableStyleElement type="headerRow" dxfId="15"/>
    </tableStyle>
    <tableStyle name="Timeline Style 2" pivot="0" table="0" count="8" xr9:uid="{1508F7B6-B85C-4597-A67D-C3B6D7FDC990}">
      <tableStyleElement type="wholeTable" dxfId="8"/>
      <tableStyleElement type="headerRow" dxfId="7"/>
    </tableStyle>
    <tableStyle name="Timeline Style 3" pivot="0" table="0" count="9" xr9:uid="{C255BDA0-15AD-4007-8BD7-D82C8E43E22B}">
      <tableStyleElement type="wholeTable" dxfId="1"/>
      <tableStyleElement type="headerRow" dxfId="0"/>
    </tableStyle>
  </tableStyles>
  <colors>
    <mruColors>
      <color rgb="FFF5F0F2"/>
      <color rgb="FF7F1D3A"/>
      <color rgb="FFB56576"/>
      <color rgb="FF28745B"/>
      <color rgb="FF5B2333"/>
      <color rgb="FFE7C9D0"/>
      <color rgb="FFF4E1E5"/>
      <color rgb="FFFFF8F0"/>
      <color rgb="FFFFFFFF"/>
      <color rgb="FF6D4C8D"/>
    </mruColors>
  </colors>
  <extLst>
    <ext xmlns:x14="http://schemas.microsoft.com/office/spreadsheetml/2009/9/main" uri="{46F421CA-312F-682f-3DD2-61675219B42D}">
      <x14:dxfs count="6">
        <dxf>
          <fill>
            <patternFill>
              <bgColor rgb="FFFFF8F0"/>
            </patternFill>
          </fill>
        </dxf>
        <dxf>
          <fill>
            <patternFill>
              <bgColor rgb="FFB56576"/>
            </patternFill>
          </fill>
        </dxf>
        <dxf>
          <fill>
            <patternFill>
              <bgColor rgb="FFE8DFF5"/>
            </patternFill>
          </fill>
        </dxf>
        <dxf>
          <fill>
            <patternFill>
              <bgColor rgb="FFFBE5D6"/>
            </patternFill>
          </fill>
        </dxf>
        <dxf>
          <fill>
            <patternFill>
              <bgColor rgb="FFDCEFE9"/>
            </patternFill>
          </fill>
        </dxf>
        <dxf>
          <fill>
            <patternFill>
              <bgColor rgb="FFDCEFE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5"/>
          </x14:slicerStyleElements>
        </x14:slicerStyle>
        <x14:slicerStyle name="Slicer Style 3">
          <x14:slicerStyleElements>
            <x14:slicerStyleElement type="selectedItemWithData" dxfId="4"/>
          </x14:slicerStyleElements>
        </x14:slicerStyle>
        <x14:slicerStyle name="Slicer Style 4">
          <x14:slicerStyleElements>
            <x14:slicerStyleElement type="selectedItemWithData" dxfId="3"/>
          </x14:slicerStyleElements>
        </x14:slicerStyle>
        <x14:slicerStyle name="Slicer Style 5">
          <x14:slicerStyleElements>
            <x14:slicerStyleElement type="selectedItemWithData" dxfId="2"/>
          </x14:slicerStyleElements>
        </x14:slicerStyle>
        <x14:slicerStyle name="Slicer Style 6"/>
        <x14:slicerStyle name="Slicer Style 7">
          <x14:slicerStyleElements>
            <x14:slicerStyleElement type="unselectedItemWithData" dxfId="0"/>
            <x14:slicerStyleElement type="selectedItemWithData" dxfId="1"/>
          </x14:slicerStyleElements>
        </x14:slicerStyle>
      </x14:slicerStyles>
    </ext>
    <ext xmlns:x15="http://schemas.microsoft.com/office/spreadsheetml/2010/11/main" uri="{A0A4C193-F2C1-4fcb-8827-314CF55A85BB}">
      <x15:dxfs count="18">
        <dxf>
          <fill>
            <patternFill patternType="solid">
              <fgColor theme="0" tint="-0.14996795556505021"/>
              <bgColor rgb="FFF4E1E5"/>
            </patternFill>
          </fill>
        </dxf>
        <dxf>
          <fill>
            <patternFill patternType="solid">
              <fgColor theme="0"/>
              <bgColor rgb="FF7F1D3A"/>
            </patternFill>
          </fill>
        </dxf>
        <dxf>
          <font>
            <sz val="9"/>
            <color rgb="FF5B2333"/>
            <name val="Aptos ExtraBold"/>
            <family val="2"/>
            <scheme val="none"/>
          </font>
        </dxf>
        <dxf>
          <font>
            <sz val="9"/>
            <color rgb="FF5B2333"/>
            <name val="Aptos ExtraBold"/>
            <family val="2"/>
            <scheme val="none"/>
          </font>
        </dxf>
        <dxf>
          <font>
            <sz val="9"/>
            <color rgb="FF5B2333"/>
            <name val="Aptos ExtraBold"/>
            <family val="2"/>
            <scheme val="none"/>
          </font>
        </dxf>
        <dxf>
          <font>
            <sz val="10"/>
            <color theme="1" tint="0.499984740745262"/>
          </font>
        </dxf>
        <dxf>
          <font>
            <sz val="9"/>
            <color theme="1" tint="0.499984740745262"/>
          </font>
        </dxf>
        <dxf>
          <font>
            <sz val="9"/>
            <color theme="1" tint="0.499984740745262"/>
          </font>
        </dxf>
        <dxf>
          <font>
            <sz val="9"/>
            <color theme="1" tint="0.499984740745262"/>
          </font>
        </dxf>
        <dxf>
          <font>
            <sz val="10"/>
            <color rgb="FFDCEFE9"/>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9.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[ScamScope_Raw_Data.xlsx]Pivot _Analysis!PivotTable4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_Analysis'!$C$13</c:f>
              <c:strCache>
                <c:ptCount val="1"/>
                <c:pt idx="0">
                  <c:v>Total</c:v>
                </c:pt>
              </c:strCache>
            </c:strRef>
          </c:tx>
          <c:spPr>
            <a:solidFill>
              <a:schemeClr val="accent1"/>
            </a:solidFill>
            <a:ln>
              <a:noFill/>
            </a:ln>
            <a:effectLst/>
          </c:spPr>
          <c:invertIfNegative val="0"/>
          <c:cat>
            <c:strRef>
              <c:f>'Pivot _Analysis'!$B$14:$B$21</c:f>
              <c:strCache>
                <c:ptCount val="7"/>
                <c:pt idx="0">
                  <c:v>Fake Customer Care</c:v>
                </c:pt>
                <c:pt idx="1">
                  <c:v>Fake Job Offer</c:v>
                </c:pt>
                <c:pt idx="2">
                  <c:v>Impersonation</c:v>
                </c:pt>
                <c:pt idx="3">
                  <c:v>Investment Scam</c:v>
                </c:pt>
                <c:pt idx="4">
                  <c:v>OTP Fraud</c:v>
                </c:pt>
                <c:pt idx="5">
                  <c:v>Phishing</c:v>
                </c:pt>
                <c:pt idx="6">
                  <c:v>UPI Scam</c:v>
                </c:pt>
              </c:strCache>
            </c:strRef>
          </c:cat>
          <c:val>
            <c:numRef>
              <c:f>'Pivot _Analysis'!$C$14:$C$21</c:f>
              <c:numCache>
                <c:formatCode>General</c:formatCode>
                <c:ptCount val="7"/>
                <c:pt idx="0">
                  <c:v>48000</c:v>
                </c:pt>
                <c:pt idx="1">
                  <c:v>14800</c:v>
                </c:pt>
                <c:pt idx="2">
                  <c:v>22000</c:v>
                </c:pt>
                <c:pt idx="3">
                  <c:v>290000</c:v>
                </c:pt>
                <c:pt idx="4">
                  <c:v>56700</c:v>
                </c:pt>
                <c:pt idx="5">
                  <c:v>43400</c:v>
                </c:pt>
                <c:pt idx="6">
                  <c:v>16500</c:v>
                </c:pt>
              </c:numCache>
            </c:numRef>
          </c:val>
          <c:extLst>
            <c:ext xmlns:c16="http://schemas.microsoft.com/office/drawing/2014/chart" uri="{C3380CC4-5D6E-409C-BE32-E72D297353CC}">
              <c16:uniqueId val="{00000002-C2A6-48AF-9959-DA9662845428}"/>
            </c:ext>
          </c:extLst>
        </c:ser>
        <c:dLbls>
          <c:showLegendKey val="0"/>
          <c:showVal val="0"/>
          <c:showCatName val="0"/>
          <c:showSerName val="0"/>
          <c:showPercent val="0"/>
          <c:showBubbleSize val="0"/>
        </c:dLbls>
        <c:gapWidth val="182"/>
        <c:axId val="274502031"/>
        <c:axId val="274514031"/>
      </c:barChart>
      <c:catAx>
        <c:axId val="27450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14031"/>
        <c:crosses val="autoZero"/>
        <c:auto val="1"/>
        <c:lblAlgn val="ctr"/>
        <c:lblOffset val="100"/>
        <c:noMultiLvlLbl val="0"/>
      </c:catAx>
      <c:valAx>
        <c:axId val="27451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0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[ScamScope_Raw_Data.xlsx]Pivot _Analysis!PivotTable5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_Analysis'!$C$27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_Analysis'!$B$28:$B$32</c:f>
              <c:multiLvlStrCache>
                <c:ptCount val="3"/>
                <c:lvl>
                  <c:pt idx="0">
                    <c:v>Jan</c:v>
                  </c:pt>
                  <c:pt idx="1">
                    <c:v>Feb</c:v>
                  </c:pt>
                  <c:pt idx="2">
                    <c:v>Mar</c:v>
                  </c:pt>
                </c:lvl>
                <c:lvl>
                  <c:pt idx="0">
                    <c:v>2026</c:v>
                  </c:pt>
                </c:lvl>
              </c:multiLvlStrCache>
            </c:multiLvlStrRef>
          </c:cat>
          <c:val>
            <c:numRef>
              <c:f>'Pivot _Analysis'!$C$28:$C$32</c:f>
              <c:numCache>
                <c:formatCode>General</c:formatCode>
                <c:ptCount val="3"/>
                <c:pt idx="0">
                  <c:v>9</c:v>
                </c:pt>
                <c:pt idx="1">
                  <c:v>8</c:v>
                </c:pt>
                <c:pt idx="2">
                  <c:v>3</c:v>
                </c:pt>
              </c:numCache>
            </c:numRef>
          </c:val>
          <c:smooth val="0"/>
          <c:extLst>
            <c:ext xmlns:c16="http://schemas.microsoft.com/office/drawing/2014/chart" uri="{C3380CC4-5D6E-409C-BE32-E72D297353CC}">
              <c16:uniqueId val="{00000002-5CBC-4785-BF3E-6370C3D49CBA}"/>
            </c:ext>
          </c:extLst>
        </c:ser>
        <c:dLbls>
          <c:showLegendKey val="0"/>
          <c:showVal val="0"/>
          <c:showCatName val="0"/>
          <c:showSerName val="0"/>
          <c:showPercent val="0"/>
          <c:showBubbleSize val="0"/>
        </c:dLbls>
        <c:marker val="1"/>
        <c:smooth val="0"/>
        <c:axId val="721462847"/>
        <c:axId val="721467167"/>
      </c:lineChart>
      <c:catAx>
        <c:axId val="7214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7167"/>
        <c:crosses val="autoZero"/>
        <c:auto val="1"/>
        <c:lblAlgn val="ctr"/>
        <c:lblOffset val="100"/>
        <c:noMultiLvlLbl val="0"/>
      </c:catAx>
      <c:valAx>
        <c:axId val="721467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[ScamScope_Raw_Data.xlsx]Pivot _Analysis!PivotTable6</c:name>
    <c:fmtId val="3"/>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_Analysis'!$N$32</c:f>
              <c:strCache>
                <c:ptCount val="1"/>
                <c:pt idx="0">
                  <c:v>Sum of Amount_Recovered_INR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_Analysis'!$N$33</c:f>
              <c:strCache>
                <c:ptCount val="1"/>
                <c:pt idx="0">
                  <c:v>Total</c:v>
                </c:pt>
              </c:strCache>
            </c:strRef>
          </c:cat>
          <c:val>
            <c:numRef>
              <c:f>'Pivot _Analysis'!$N$33</c:f>
              <c:numCache>
                <c:formatCode>General</c:formatCode>
                <c:ptCount val="1"/>
                <c:pt idx="0">
                  <c:v>88400</c:v>
                </c:pt>
              </c:numCache>
            </c:numRef>
          </c:val>
          <c:extLst>
            <c:ext xmlns:c16="http://schemas.microsoft.com/office/drawing/2014/chart" uri="{C3380CC4-5D6E-409C-BE32-E72D297353CC}">
              <c16:uniqueId val="{00000000-B2AC-4036-91F9-3AC7D506D74E}"/>
            </c:ext>
          </c:extLst>
        </c:ser>
        <c:ser>
          <c:idx val="1"/>
          <c:order val="1"/>
          <c:tx>
            <c:strRef>
              <c:f>'Pivot _Analysis'!$O$32</c:f>
              <c:strCache>
                <c:ptCount val="1"/>
                <c:pt idx="0">
                  <c:v>Sum of Unrecovered_Amount_INR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_Analysis'!$N$33</c:f>
              <c:strCache>
                <c:ptCount val="1"/>
                <c:pt idx="0">
                  <c:v>Total</c:v>
                </c:pt>
              </c:strCache>
            </c:strRef>
          </c:cat>
          <c:val>
            <c:numRef>
              <c:f>'Pivot _Analysis'!$O$33</c:f>
              <c:numCache>
                <c:formatCode>General</c:formatCode>
                <c:ptCount val="1"/>
                <c:pt idx="0">
                  <c:v>403000</c:v>
                </c:pt>
              </c:numCache>
            </c:numRef>
          </c:val>
          <c:extLst>
            <c:ext xmlns:c16="http://schemas.microsoft.com/office/drawing/2014/chart" uri="{C3380CC4-5D6E-409C-BE32-E72D297353CC}">
              <c16:uniqueId val="{00000001-B2AC-4036-91F9-3AC7D506D74E}"/>
            </c:ext>
          </c:extLst>
        </c:ser>
        <c:dLbls>
          <c:showLegendKey val="0"/>
          <c:showVal val="0"/>
          <c:showCatName val="0"/>
          <c:showSerName val="0"/>
          <c:showPercent val="0"/>
          <c:showBubbleSize val="0"/>
        </c:dLbls>
        <c:gapWidth val="150"/>
        <c:overlap val="100"/>
        <c:axId val="721469567"/>
        <c:axId val="721470047"/>
      </c:barChart>
      <c:catAx>
        <c:axId val="721469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70047"/>
        <c:crosses val="autoZero"/>
        <c:auto val="1"/>
        <c:lblAlgn val="ctr"/>
        <c:lblOffset val="100"/>
        <c:noMultiLvlLbl val="0"/>
      </c:catAx>
      <c:valAx>
        <c:axId val="721470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[ScamScope_Raw_Data.xlsx]Pivot _Analysis!PivotTable7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_Analysis'!$E$53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_Analysis'!$D$54:$D$61</c:f>
              <c:strCache>
                <c:ptCount val="7"/>
                <c:pt idx="0">
                  <c:v>Fake Customer Care</c:v>
                </c:pt>
                <c:pt idx="1">
                  <c:v>Fake Job Offer</c:v>
                </c:pt>
                <c:pt idx="2">
                  <c:v>Impersonation</c:v>
                </c:pt>
                <c:pt idx="3">
                  <c:v>Investment Scam</c:v>
                </c:pt>
                <c:pt idx="4">
                  <c:v>OTP Fraud</c:v>
                </c:pt>
                <c:pt idx="5">
                  <c:v>Phishing</c:v>
                </c:pt>
                <c:pt idx="6">
                  <c:v>UPI Scam</c:v>
                </c:pt>
              </c:strCache>
            </c:strRef>
          </c:cat>
          <c:val>
            <c:numRef>
              <c:f>'Pivot _Analysis'!$E$54:$E$61</c:f>
              <c:numCache>
                <c:formatCode>General</c:formatCode>
                <c:ptCount val="7"/>
                <c:pt idx="0">
                  <c:v>3</c:v>
                </c:pt>
                <c:pt idx="1">
                  <c:v>3</c:v>
                </c:pt>
                <c:pt idx="2">
                  <c:v>1</c:v>
                </c:pt>
                <c:pt idx="3">
                  <c:v>3</c:v>
                </c:pt>
                <c:pt idx="4">
                  <c:v>3</c:v>
                </c:pt>
                <c:pt idx="5">
                  <c:v>4</c:v>
                </c:pt>
                <c:pt idx="6">
                  <c:v>3</c:v>
                </c:pt>
              </c:numCache>
            </c:numRef>
          </c:val>
          <c:extLst>
            <c:ext xmlns:c16="http://schemas.microsoft.com/office/drawing/2014/chart" uri="{C3380CC4-5D6E-409C-BE32-E72D297353CC}">
              <c16:uniqueId val="{00000002-E3F9-402B-A231-ED70D182232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[ScamScope_Raw_Data.xlsx]Pivot _Analysis!PivotTable7</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r>
              <a:rPr lang="en-IN" sz="1100" b="1" i="0" u="none" strike="noStrike" baseline="0">
                <a:solidFill>
                  <a:srgbClr val="5B2333"/>
                </a:solidFill>
              </a:rPr>
              <a:t>Complaints by Scam Type</a:t>
            </a:r>
            <a:endParaRPr lang="en-IN" sz="1100" b="1">
              <a:solidFill>
                <a:srgbClr val="5B2333"/>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_Analysis'!$E$53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_Analysis'!$D$54:$D$61</c:f>
              <c:strCache>
                <c:ptCount val="7"/>
                <c:pt idx="0">
                  <c:v>Fake Customer Care</c:v>
                </c:pt>
                <c:pt idx="1">
                  <c:v>Fake Job Offer</c:v>
                </c:pt>
                <c:pt idx="2">
                  <c:v>Impersonation</c:v>
                </c:pt>
                <c:pt idx="3">
                  <c:v>Investment Scam</c:v>
                </c:pt>
                <c:pt idx="4">
                  <c:v>OTP Fraud</c:v>
                </c:pt>
                <c:pt idx="5">
                  <c:v>Phishing</c:v>
                </c:pt>
                <c:pt idx="6">
                  <c:v>UPI Scam</c:v>
                </c:pt>
              </c:strCache>
            </c:strRef>
          </c:cat>
          <c:val>
            <c:numRef>
              <c:f>'Pivot _Analysis'!$E$54:$E$61</c:f>
              <c:numCache>
                <c:formatCode>General</c:formatCode>
                <c:ptCount val="7"/>
                <c:pt idx="0">
                  <c:v>3</c:v>
                </c:pt>
                <c:pt idx="1">
                  <c:v>3</c:v>
                </c:pt>
                <c:pt idx="2">
                  <c:v>1</c:v>
                </c:pt>
                <c:pt idx="3">
                  <c:v>3</c:v>
                </c:pt>
                <c:pt idx="4">
                  <c:v>3</c:v>
                </c:pt>
                <c:pt idx="5">
                  <c:v>4</c:v>
                </c:pt>
                <c:pt idx="6">
                  <c:v>3</c:v>
                </c:pt>
              </c:numCache>
            </c:numRef>
          </c:val>
          <c:extLst>
            <c:ext xmlns:c16="http://schemas.microsoft.com/office/drawing/2014/chart" uri="{C3380CC4-5D6E-409C-BE32-E72D297353CC}">
              <c16:uniqueId val="{0000000F-C91D-4A14-A08B-29025CDC6EA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rgbClr val="E7C9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[ScamScope_Raw_Data.xlsx]Pivot _Analysis!PivotTable4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rgbClr val="5B2333"/>
                </a:solidFill>
              </a:rPr>
              <a:t>Total Money Lost by Scam Type</a:t>
            </a:r>
            <a:endParaRPr lang="en-US" sz="1000" b="1">
              <a:solidFill>
                <a:srgbClr val="5B2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F1D3A"/>
          </a:solidFill>
          <a:ln>
            <a:noFill/>
          </a:ln>
          <a:effectLst/>
        </c:spPr>
      </c:pivotFmt>
      <c:pivotFmt>
        <c:idx val="4"/>
        <c:spPr>
          <a:solidFill>
            <a:srgbClr val="7F1D3A"/>
          </a:solidFill>
          <a:ln>
            <a:noFill/>
          </a:ln>
          <a:effectLst/>
        </c:spPr>
      </c:pivotFmt>
      <c:pivotFmt>
        <c:idx val="5"/>
        <c:spPr>
          <a:solidFill>
            <a:srgbClr val="B56576"/>
          </a:solidFill>
          <a:ln>
            <a:noFill/>
          </a:ln>
          <a:effectLst/>
        </c:spPr>
      </c:pivotFmt>
      <c:pivotFmt>
        <c:idx val="6"/>
        <c:spPr>
          <a:solidFill>
            <a:srgbClr val="B56576"/>
          </a:solidFill>
          <a:ln>
            <a:noFill/>
          </a:ln>
          <a:effectLst/>
        </c:spPr>
      </c:pivotFmt>
      <c:pivotFmt>
        <c:idx val="7"/>
        <c:spPr>
          <a:solidFill>
            <a:srgbClr val="B56576"/>
          </a:solidFill>
          <a:ln>
            <a:noFill/>
          </a:ln>
          <a:effectLst/>
        </c:spPr>
      </c:pivotFmt>
      <c:pivotFmt>
        <c:idx val="8"/>
        <c:spPr>
          <a:solidFill>
            <a:srgbClr val="B56576"/>
          </a:solidFill>
          <a:ln>
            <a:noFill/>
          </a:ln>
          <a:effectLst/>
        </c:spPr>
      </c:pivotFmt>
      <c:pivotFmt>
        <c:idx val="9"/>
        <c:spPr>
          <a:solidFill>
            <a:srgbClr val="7F1D3A"/>
          </a:solidFill>
          <a:ln>
            <a:noFill/>
          </a:ln>
          <a:effectLst/>
        </c:spPr>
      </c:pivotFmt>
    </c:pivotFmts>
    <c:plotArea>
      <c:layout/>
      <c:barChart>
        <c:barDir val="bar"/>
        <c:grouping val="clustered"/>
        <c:varyColors val="0"/>
        <c:ser>
          <c:idx val="0"/>
          <c:order val="0"/>
          <c:tx>
            <c:strRef>
              <c:f>'Pivot _Analysis'!$C$13</c:f>
              <c:strCache>
                <c:ptCount val="1"/>
                <c:pt idx="0">
                  <c:v>Total</c:v>
                </c:pt>
              </c:strCache>
            </c:strRef>
          </c:tx>
          <c:spPr>
            <a:solidFill>
              <a:schemeClr val="accent1"/>
            </a:solidFill>
            <a:ln>
              <a:noFill/>
            </a:ln>
            <a:effectLst/>
          </c:spPr>
          <c:invertIfNegative val="0"/>
          <c:dPt>
            <c:idx val="0"/>
            <c:invertIfNegative val="0"/>
            <c:bubble3D val="0"/>
            <c:spPr>
              <a:solidFill>
                <a:srgbClr val="7F1D3A"/>
              </a:solidFill>
              <a:ln>
                <a:noFill/>
              </a:ln>
              <a:effectLst/>
            </c:spPr>
            <c:extLst>
              <c:ext xmlns:c16="http://schemas.microsoft.com/office/drawing/2014/chart" uri="{C3380CC4-5D6E-409C-BE32-E72D297353CC}">
                <c16:uniqueId val="{00000009-DDE6-47ED-B0A0-8B69370146FC}"/>
              </c:ext>
            </c:extLst>
          </c:dPt>
          <c:dPt>
            <c:idx val="1"/>
            <c:invertIfNegative val="0"/>
            <c:bubble3D val="0"/>
            <c:spPr>
              <a:solidFill>
                <a:srgbClr val="B56576"/>
              </a:solidFill>
              <a:ln>
                <a:noFill/>
              </a:ln>
              <a:effectLst/>
            </c:spPr>
            <c:extLst>
              <c:ext xmlns:c16="http://schemas.microsoft.com/office/drawing/2014/chart" uri="{C3380CC4-5D6E-409C-BE32-E72D297353CC}">
                <c16:uniqueId val="{00000005-DDE6-47ED-B0A0-8B69370146FC}"/>
              </c:ext>
            </c:extLst>
          </c:dPt>
          <c:dPt>
            <c:idx val="2"/>
            <c:invertIfNegative val="0"/>
            <c:bubble3D val="0"/>
            <c:spPr>
              <a:solidFill>
                <a:srgbClr val="B56576"/>
              </a:solidFill>
              <a:ln>
                <a:noFill/>
              </a:ln>
              <a:effectLst/>
            </c:spPr>
            <c:extLst>
              <c:ext xmlns:c16="http://schemas.microsoft.com/office/drawing/2014/chart" uri="{C3380CC4-5D6E-409C-BE32-E72D297353CC}">
                <c16:uniqueId val="{00000006-DDE6-47ED-B0A0-8B69370146FC}"/>
              </c:ext>
            </c:extLst>
          </c:dPt>
          <c:dPt>
            <c:idx val="3"/>
            <c:invertIfNegative val="0"/>
            <c:bubble3D val="0"/>
            <c:spPr>
              <a:solidFill>
                <a:srgbClr val="7F1D3A"/>
              </a:solidFill>
              <a:ln>
                <a:noFill/>
              </a:ln>
              <a:effectLst/>
            </c:spPr>
            <c:extLst>
              <c:ext xmlns:c16="http://schemas.microsoft.com/office/drawing/2014/chart" uri="{C3380CC4-5D6E-409C-BE32-E72D297353CC}">
                <c16:uniqueId val="{00000003-DDE6-47ED-B0A0-8B69370146FC}"/>
              </c:ext>
            </c:extLst>
          </c:dPt>
          <c:dPt>
            <c:idx val="4"/>
            <c:invertIfNegative val="0"/>
            <c:bubble3D val="0"/>
            <c:spPr>
              <a:solidFill>
                <a:srgbClr val="7F1D3A"/>
              </a:solidFill>
              <a:ln>
                <a:noFill/>
              </a:ln>
              <a:effectLst/>
            </c:spPr>
            <c:extLst>
              <c:ext xmlns:c16="http://schemas.microsoft.com/office/drawing/2014/chart" uri="{C3380CC4-5D6E-409C-BE32-E72D297353CC}">
                <c16:uniqueId val="{00000004-DDE6-47ED-B0A0-8B69370146FC}"/>
              </c:ext>
            </c:extLst>
          </c:dPt>
          <c:dPt>
            <c:idx val="5"/>
            <c:invertIfNegative val="0"/>
            <c:bubble3D val="0"/>
            <c:spPr>
              <a:solidFill>
                <a:srgbClr val="B56576"/>
              </a:solidFill>
              <a:ln>
                <a:noFill/>
              </a:ln>
              <a:effectLst/>
            </c:spPr>
            <c:extLst>
              <c:ext xmlns:c16="http://schemas.microsoft.com/office/drawing/2014/chart" uri="{C3380CC4-5D6E-409C-BE32-E72D297353CC}">
                <c16:uniqueId val="{00000008-DDE6-47ED-B0A0-8B69370146FC}"/>
              </c:ext>
            </c:extLst>
          </c:dPt>
          <c:dPt>
            <c:idx val="6"/>
            <c:invertIfNegative val="0"/>
            <c:bubble3D val="0"/>
            <c:spPr>
              <a:solidFill>
                <a:srgbClr val="B56576"/>
              </a:solidFill>
              <a:ln>
                <a:noFill/>
              </a:ln>
              <a:effectLst/>
            </c:spPr>
            <c:extLst>
              <c:ext xmlns:c16="http://schemas.microsoft.com/office/drawing/2014/chart" uri="{C3380CC4-5D6E-409C-BE32-E72D297353CC}">
                <c16:uniqueId val="{00000007-DDE6-47ED-B0A0-8B69370146FC}"/>
              </c:ext>
            </c:extLst>
          </c:dPt>
          <c:cat>
            <c:strRef>
              <c:f>'Pivot _Analysis'!$B$14:$B$21</c:f>
              <c:strCache>
                <c:ptCount val="7"/>
                <c:pt idx="0">
                  <c:v>Fake Customer Care</c:v>
                </c:pt>
                <c:pt idx="1">
                  <c:v>Fake Job Offer</c:v>
                </c:pt>
                <c:pt idx="2">
                  <c:v>Impersonation</c:v>
                </c:pt>
                <c:pt idx="3">
                  <c:v>Investment Scam</c:v>
                </c:pt>
                <c:pt idx="4">
                  <c:v>OTP Fraud</c:v>
                </c:pt>
                <c:pt idx="5">
                  <c:v>Phishing</c:v>
                </c:pt>
                <c:pt idx="6">
                  <c:v>UPI Scam</c:v>
                </c:pt>
              </c:strCache>
            </c:strRef>
          </c:cat>
          <c:val>
            <c:numRef>
              <c:f>'Pivot _Analysis'!$C$14:$C$21</c:f>
              <c:numCache>
                <c:formatCode>General</c:formatCode>
                <c:ptCount val="7"/>
                <c:pt idx="0">
                  <c:v>48000</c:v>
                </c:pt>
                <c:pt idx="1">
                  <c:v>14800</c:v>
                </c:pt>
                <c:pt idx="2">
                  <c:v>22000</c:v>
                </c:pt>
                <c:pt idx="3">
                  <c:v>290000</c:v>
                </c:pt>
                <c:pt idx="4">
                  <c:v>56700</c:v>
                </c:pt>
                <c:pt idx="5">
                  <c:v>43400</c:v>
                </c:pt>
                <c:pt idx="6">
                  <c:v>16500</c:v>
                </c:pt>
              </c:numCache>
            </c:numRef>
          </c:val>
          <c:extLst>
            <c:ext xmlns:c16="http://schemas.microsoft.com/office/drawing/2014/chart" uri="{C3380CC4-5D6E-409C-BE32-E72D297353CC}">
              <c16:uniqueId val="{00000001-DDE6-47ED-B0A0-8B69370146FC}"/>
            </c:ext>
          </c:extLst>
        </c:ser>
        <c:dLbls>
          <c:showLegendKey val="0"/>
          <c:showVal val="0"/>
          <c:showCatName val="0"/>
          <c:showSerName val="0"/>
          <c:showPercent val="0"/>
          <c:showBubbleSize val="0"/>
        </c:dLbls>
        <c:gapWidth val="182"/>
        <c:axId val="274502031"/>
        <c:axId val="274514031"/>
      </c:barChart>
      <c:catAx>
        <c:axId val="27450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14031"/>
        <c:crosses val="autoZero"/>
        <c:auto val="1"/>
        <c:lblAlgn val="ctr"/>
        <c:lblOffset val="100"/>
        <c:noMultiLvlLbl val="0"/>
      </c:catAx>
      <c:valAx>
        <c:axId val="27451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0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7C9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[ScamScope_Raw_Data.xlsx]Pivot _Analysis!PivotTable6</c:name>
    <c:fmtId val="8"/>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8745B"/>
          </a:solidFill>
          <a:ln>
            <a:noFill/>
          </a:ln>
          <a:effectLst>
            <a:outerShdw blurRad="57150" dist="19050" dir="5400000" algn="ctr" rotWithShape="0">
              <a:srgbClr val="000000">
                <a:alpha val="63000"/>
              </a:srgbClr>
            </a:outerShdw>
          </a:effectLst>
        </c:spPr>
      </c:pivotFmt>
    </c:pivotFmts>
    <c:plotArea>
      <c:layout/>
      <c:barChart>
        <c:barDir val="col"/>
        <c:grouping val="percentStacked"/>
        <c:varyColors val="0"/>
        <c:ser>
          <c:idx val="0"/>
          <c:order val="0"/>
          <c:tx>
            <c:strRef>
              <c:f>'Pivot _Analysis'!$N$32</c:f>
              <c:strCache>
                <c:ptCount val="1"/>
                <c:pt idx="0">
                  <c:v>Sum of Amount_Recovered_INR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_Analysis'!$N$33</c:f>
              <c:strCache>
                <c:ptCount val="1"/>
                <c:pt idx="0">
                  <c:v>Total</c:v>
                </c:pt>
              </c:strCache>
            </c:strRef>
          </c:cat>
          <c:val>
            <c:numRef>
              <c:f>'Pivot _Analysis'!$N$33</c:f>
              <c:numCache>
                <c:formatCode>General</c:formatCode>
                <c:ptCount val="1"/>
                <c:pt idx="0">
                  <c:v>88400</c:v>
                </c:pt>
              </c:numCache>
            </c:numRef>
          </c:val>
          <c:extLst>
            <c:ext xmlns:c16="http://schemas.microsoft.com/office/drawing/2014/chart" uri="{C3380CC4-5D6E-409C-BE32-E72D297353CC}">
              <c16:uniqueId val="{00000000-C351-4CCD-8FD8-99554C93F75F}"/>
            </c:ext>
          </c:extLst>
        </c:ser>
        <c:ser>
          <c:idx val="1"/>
          <c:order val="1"/>
          <c:tx>
            <c:strRef>
              <c:f>'Pivot _Analysis'!$O$32</c:f>
              <c:strCache>
                <c:ptCount val="1"/>
                <c:pt idx="0">
                  <c:v>Sum of Unrecovered_Amount_INR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28745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351-4CCD-8FD8-99554C93F75F}"/>
              </c:ext>
            </c:extLst>
          </c:dPt>
          <c:cat>
            <c:strRef>
              <c:f>'Pivot _Analysis'!$N$33</c:f>
              <c:strCache>
                <c:ptCount val="1"/>
                <c:pt idx="0">
                  <c:v>Total</c:v>
                </c:pt>
              </c:strCache>
            </c:strRef>
          </c:cat>
          <c:val>
            <c:numRef>
              <c:f>'Pivot _Analysis'!$O$33</c:f>
              <c:numCache>
                <c:formatCode>General</c:formatCode>
                <c:ptCount val="1"/>
                <c:pt idx="0">
                  <c:v>403000</c:v>
                </c:pt>
              </c:numCache>
            </c:numRef>
          </c:val>
          <c:extLst>
            <c:ext xmlns:c16="http://schemas.microsoft.com/office/drawing/2014/chart" uri="{C3380CC4-5D6E-409C-BE32-E72D297353CC}">
              <c16:uniqueId val="{00000001-C351-4CCD-8FD8-99554C93F75F}"/>
            </c:ext>
          </c:extLst>
        </c:ser>
        <c:dLbls>
          <c:showLegendKey val="0"/>
          <c:showVal val="0"/>
          <c:showCatName val="0"/>
          <c:showSerName val="0"/>
          <c:showPercent val="0"/>
          <c:showBubbleSize val="0"/>
        </c:dLbls>
        <c:gapWidth val="150"/>
        <c:overlap val="100"/>
        <c:axId val="721469567"/>
        <c:axId val="721470047"/>
      </c:barChart>
      <c:catAx>
        <c:axId val="721469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70047"/>
        <c:crosses val="autoZero"/>
        <c:auto val="1"/>
        <c:lblAlgn val="ctr"/>
        <c:lblOffset val="100"/>
        <c:noMultiLvlLbl val="0"/>
      </c:catAx>
      <c:valAx>
        <c:axId val="721470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7C9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[ScamScope_Raw_Data.xlsx]Pivot _Analysis!PivotTable5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000" b="1" i="0" u="none" strike="noStrike" baseline="0">
                <a:solidFill>
                  <a:srgbClr val="5B2333"/>
                </a:solidFill>
              </a:rPr>
              <a:t>Monthly Cyber Fraud Complaints</a:t>
            </a:r>
            <a:endParaRPr lang="en-US" sz="1000" b="1">
              <a:solidFill>
                <a:srgbClr val="5B2333"/>
              </a:solidFill>
            </a:endParaRPr>
          </a:p>
        </c:rich>
      </c:tx>
      <c:layout>
        <c:manualLayout>
          <c:xMode val="edge"/>
          <c:yMode val="edge"/>
          <c:x val="0.1889330494953804"/>
          <c:y val="0.1515584930468777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28745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_Analysis'!$C$27</c:f>
              <c:strCache>
                <c:ptCount val="1"/>
                <c:pt idx="0">
                  <c:v>Total</c:v>
                </c:pt>
              </c:strCache>
            </c:strRef>
          </c:tx>
          <c:spPr>
            <a:ln w="28575" cap="rnd">
              <a:solidFill>
                <a:schemeClr val="accent1"/>
              </a:solidFill>
              <a:round/>
            </a:ln>
            <a:effectLst/>
          </c:spPr>
          <c:marker>
            <c:symbol val="circle"/>
            <c:size val="5"/>
            <c:spPr>
              <a:solidFill>
                <a:srgbClr val="28745B"/>
              </a:solidFill>
              <a:ln w="9525">
                <a:solidFill>
                  <a:schemeClr val="accent1"/>
                </a:solidFill>
              </a:ln>
              <a:effectLst/>
            </c:spPr>
          </c:marker>
          <c:cat>
            <c:multiLvlStrRef>
              <c:f>'Pivot _Analysis'!$B$28:$B$32</c:f>
              <c:multiLvlStrCache>
                <c:ptCount val="3"/>
                <c:lvl>
                  <c:pt idx="0">
                    <c:v>Jan</c:v>
                  </c:pt>
                  <c:pt idx="1">
                    <c:v>Feb</c:v>
                  </c:pt>
                  <c:pt idx="2">
                    <c:v>Mar</c:v>
                  </c:pt>
                </c:lvl>
                <c:lvl>
                  <c:pt idx="0">
                    <c:v>2026</c:v>
                  </c:pt>
                </c:lvl>
              </c:multiLvlStrCache>
            </c:multiLvlStrRef>
          </c:cat>
          <c:val>
            <c:numRef>
              <c:f>'Pivot _Analysis'!$C$28:$C$32</c:f>
              <c:numCache>
                <c:formatCode>General</c:formatCode>
                <c:ptCount val="3"/>
                <c:pt idx="0">
                  <c:v>9</c:v>
                </c:pt>
                <c:pt idx="1">
                  <c:v>8</c:v>
                </c:pt>
                <c:pt idx="2">
                  <c:v>3</c:v>
                </c:pt>
              </c:numCache>
            </c:numRef>
          </c:val>
          <c:smooth val="0"/>
          <c:extLst>
            <c:ext xmlns:c16="http://schemas.microsoft.com/office/drawing/2014/chart" uri="{C3380CC4-5D6E-409C-BE32-E72D297353CC}">
              <c16:uniqueId val="{00000001-6803-4696-A0EC-62114755DEC2}"/>
            </c:ext>
          </c:extLst>
        </c:ser>
        <c:dLbls>
          <c:showLegendKey val="0"/>
          <c:showVal val="0"/>
          <c:showCatName val="0"/>
          <c:showSerName val="0"/>
          <c:showPercent val="0"/>
          <c:showBubbleSize val="0"/>
        </c:dLbls>
        <c:marker val="1"/>
        <c:smooth val="0"/>
        <c:axId val="721462847"/>
        <c:axId val="721467167"/>
      </c:lineChart>
      <c:catAx>
        <c:axId val="7214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7167"/>
        <c:crosses val="autoZero"/>
        <c:auto val="1"/>
        <c:lblAlgn val="ctr"/>
        <c:lblOffset val="100"/>
        <c:noMultiLvlLbl val="0"/>
      </c:catAx>
      <c:valAx>
        <c:axId val="721467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7C9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7.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6.png"/><Relationship Id="rId5" Type="http://schemas.openxmlformats.org/officeDocument/2006/relationships/image" Target="../media/image1.png"/><Relationship Id="rId10" Type="http://schemas.microsoft.com/office/2007/relationships/hdphoto" Target="../media/hdphoto1.wdp"/><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1430655</xdr:colOff>
      <xdr:row>12</xdr:row>
      <xdr:rowOff>92392</xdr:rowOff>
    </xdr:from>
    <xdr:to>
      <xdr:col>10</xdr:col>
      <xdr:colOff>344805</xdr:colOff>
      <xdr:row>27</xdr:row>
      <xdr:rowOff>120967</xdr:rowOff>
    </xdr:to>
    <xdr:graphicFrame macro="">
      <xdr:nvGraphicFramePr>
        <xdr:cNvPr id="2" name="Chart 1">
          <a:extLst>
            <a:ext uri="{FF2B5EF4-FFF2-40B4-BE49-F238E27FC236}">
              <a16:creationId xmlns:a16="http://schemas.microsoft.com/office/drawing/2014/main" id="{5315E943-C85B-10CA-0C48-887CB7C76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763905</xdr:colOff>
      <xdr:row>31</xdr:row>
      <xdr:rowOff>92392</xdr:rowOff>
    </xdr:from>
    <xdr:to>
      <xdr:col>9</xdr:col>
      <xdr:colOff>283845</xdr:colOff>
      <xdr:row>46</xdr:row>
      <xdr:rowOff>120967</xdr:rowOff>
    </xdr:to>
    <xdr:graphicFrame macro="">
      <xdr:nvGraphicFramePr>
        <xdr:cNvPr id="3" name="Chart 2">
          <a:extLst>
            <a:ext uri="{FF2B5EF4-FFF2-40B4-BE49-F238E27FC236}">
              <a16:creationId xmlns:a16="http://schemas.microsoft.com/office/drawing/2014/main" id="{EF6DDC99-0ED2-8999-B98C-72D496437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409575</xdr:colOff>
      <xdr:row>38</xdr:row>
      <xdr:rowOff>6667</xdr:rowOff>
    </xdr:from>
    <xdr:to>
      <xdr:col>14</xdr:col>
      <xdr:colOff>539115</xdr:colOff>
      <xdr:row>53</xdr:row>
      <xdr:rowOff>35242</xdr:rowOff>
    </xdr:to>
    <xdr:graphicFrame macro="">
      <xdr:nvGraphicFramePr>
        <xdr:cNvPr id="4" name="Recovered vs. Unrecovered Money by Scam Type">
          <a:extLst>
            <a:ext uri="{FF2B5EF4-FFF2-40B4-BE49-F238E27FC236}">
              <a16:creationId xmlns:a16="http://schemas.microsoft.com/office/drawing/2014/main" id="{D0519613-4B1E-D126-83CC-521491A09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27622</xdr:rowOff>
    </xdr:from>
    <xdr:to>
      <xdr:col>3</xdr:col>
      <xdr:colOff>215265</xdr:colOff>
      <xdr:row>49</xdr:row>
      <xdr:rowOff>54292</xdr:rowOff>
    </xdr:to>
    <xdr:graphicFrame macro="">
      <xdr:nvGraphicFramePr>
        <xdr:cNvPr id="5" name="Complaints by Scam Type.">
          <a:extLst>
            <a:ext uri="{FF2B5EF4-FFF2-40B4-BE49-F238E27FC236}">
              <a16:creationId xmlns:a16="http://schemas.microsoft.com/office/drawing/2014/main" id="{46730725-8D05-D48D-CF41-659DDE348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434340</xdr:colOff>
      <xdr:row>4</xdr:row>
      <xdr:rowOff>125730</xdr:rowOff>
    </xdr:from>
    <xdr:to>
      <xdr:col>13</xdr:col>
      <xdr:colOff>1047750</xdr:colOff>
      <xdr:row>18</xdr:row>
      <xdr:rowOff>57150</xdr:rowOff>
    </xdr:to>
    <mc:AlternateContent xmlns:mc="http://schemas.openxmlformats.org/markup-compatibility/2006">
      <mc:Choice xmlns:a14="http://schemas.microsoft.com/office/drawing/2010/main" Requires="a14">
        <xdr:graphicFrame macro="">
          <xdr:nvGraphicFramePr>
            <xdr:cNvPr id="6" name="Scam_Type">
              <a:extLst>
                <a:ext uri="{FF2B5EF4-FFF2-40B4-BE49-F238E27FC236}">
                  <a16:creationId xmlns:a16="http://schemas.microsoft.com/office/drawing/2014/main" id="{62CB861A-BFAE-A9F6-E3EB-95A25DAA284F}"/>
                </a:ext>
              </a:extLst>
            </xdr:cNvPr>
            <xdr:cNvGraphicFramePr/>
          </xdr:nvGraphicFramePr>
          <xdr:xfrm>
            <a:off x="0" y="0"/>
            <a:ext cx="0" cy="0"/>
          </xdr:xfrm>
          <a:graphic>
            <a:graphicData uri="http://schemas.microsoft.com/office/drawing/2010/slicer">
              <sle:slicer xmlns:sle="http://schemas.microsoft.com/office/drawing/2010/slicer" name="Scam_Type"/>
            </a:graphicData>
          </a:graphic>
        </xdr:graphicFrame>
      </mc:Choice>
      <mc:Fallback>
        <xdr:sp macro="" textlink="">
          <xdr:nvSpPr>
            <xdr:cNvPr id="0" name=""/>
            <xdr:cNvSpPr>
              <a:spLocks noTextEdit="1"/>
            </xdr:cNvSpPr>
          </xdr:nvSpPr>
          <xdr:spPr>
            <a:xfrm>
              <a:off x="11134725" y="853440"/>
              <a:ext cx="1824990"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1253490</xdr:colOff>
      <xdr:row>4</xdr:row>
      <xdr:rowOff>135255</xdr:rowOff>
    </xdr:from>
    <xdr:to>
      <xdr:col>14</xdr:col>
      <xdr:colOff>1085850</xdr:colOff>
      <xdr:row>18</xdr:row>
      <xdr:rowOff>59055</xdr:rowOff>
    </xdr:to>
    <mc:AlternateContent xmlns:mc="http://schemas.openxmlformats.org/markup-compatibility/2006">
      <mc:Choice xmlns:a14="http://schemas.microsoft.com/office/drawing/2010/main" Requires="a14">
        <xdr:graphicFrame macro="">
          <xdr:nvGraphicFramePr>
            <xdr:cNvPr id="7" name="Payment_Channel">
              <a:extLst>
                <a:ext uri="{FF2B5EF4-FFF2-40B4-BE49-F238E27FC236}">
                  <a16:creationId xmlns:a16="http://schemas.microsoft.com/office/drawing/2014/main" id="{84F65B46-3F22-1AF9-E885-F476DD33735A}"/>
                </a:ext>
              </a:extLst>
            </xdr:cNvPr>
            <xdr:cNvGraphicFramePr/>
          </xdr:nvGraphicFramePr>
          <xdr:xfrm>
            <a:off x="0" y="0"/>
            <a:ext cx="0" cy="0"/>
          </xdr:xfrm>
          <a:graphic>
            <a:graphicData uri="http://schemas.microsoft.com/office/drawing/2010/slicer">
              <sle:slicer xmlns:sle="http://schemas.microsoft.com/office/drawing/2010/slicer" name="Payment_Channel"/>
            </a:graphicData>
          </a:graphic>
        </xdr:graphicFrame>
      </mc:Choice>
      <mc:Fallback>
        <xdr:sp macro="" textlink="">
          <xdr:nvSpPr>
            <xdr:cNvPr id="0" name=""/>
            <xdr:cNvSpPr>
              <a:spLocks noTextEdit="1"/>
            </xdr:cNvSpPr>
          </xdr:nvSpPr>
          <xdr:spPr>
            <a:xfrm>
              <a:off x="13169265" y="855345"/>
              <a:ext cx="1828800"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1247775</xdr:colOff>
      <xdr:row>4</xdr:row>
      <xdr:rowOff>97155</xdr:rowOff>
    </xdr:from>
    <xdr:to>
      <xdr:col>16</xdr:col>
      <xdr:colOff>320040</xdr:colOff>
      <xdr:row>18</xdr:row>
      <xdr:rowOff>20955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D28952DE-0219-69E5-4496-FD35EDD3C29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5161895" y="817245"/>
              <a:ext cx="1830705"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550545</xdr:colOff>
      <xdr:row>20</xdr:row>
      <xdr:rowOff>36195</xdr:rowOff>
    </xdr:from>
    <xdr:to>
      <xdr:col>14</xdr:col>
      <xdr:colOff>1272540</xdr:colOff>
      <xdr:row>27</xdr:row>
      <xdr:rowOff>135255</xdr:rowOff>
    </xdr:to>
    <mc:AlternateContent xmlns:mc="http://schemas.openxmlformats.org/markup-compatibility/2006">
      <mc:Choice xmlns:tsle="http://schemas.microsoft.com/office/drawing/2012/timeslicer" Requires="tsle">
        <xdr:graphicFrame macro="">
          <xdr:nvGraphicFramePr>
            <xdr:cNvPr id="10" name="Complaint_Date">
              <a:extLst>
                <a:ext uri="{FF2B5EF4-FFF2-40B4-BE49-F238E27FC236}">
                  <a16:creationId xmlns:a16="http://schemas.microsoft.com/office/drawing/2014/main" id="{CB221D99-0860-776F-F970-BD578F9D199B}"/>
                </a:ext>
              </a:extLst>
            </xdr:cNvPr>
            <xdr:cNvGraphicFramePr/>
          </xdr:nvGraphicFramePr>
          <xdr:xfrm>
            <a:off x="0" y="0"/>
            <a:ext cx="0" cy="0"/>
          </xdr:xfrm>
          <a:graphic>
            <a:graphicData uri="http://schemas.microsoft.com/office/drawing/2012/timeslicer">
              <tsle:timeslicer xmlns:tsle="http://schemas.microsoft.com/office/drawing/2012/timeslicer" name="Complaint_Date"/>
            </a:graphicData>
          </a:graphic>
        </xdr:graphicFrame>
      </mc:Choice>
      <mc:Fallback>
        <xdr:sp macro="" textlink="">
          <xdr:nvSpPr>
            <xdr:cNvPr id="0" name=""/>
            <xdr:cNvSpPr>
              <a:spLocks noTextEdit="1"/>
            </xdr:cNvSpPr>
          </xdr:nvSpPr>
          <xdr:spPr>
            <a:xfrm>
              <a:off x="11860530" y="3655695"/>
              <a:ext cx="3331845"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590550</xdr:colOff>
      <xdr:row>39</xdr:row>
      <xdr:rowOff>40005</xdr:rowOff>
    </xdr:to>
    <xdr:sp macro="" textlink="">
      <xdr:nvSpPr>
        <xdr:cNvPr id="51" name="Rectangle 50">
          <a:extLst>
            <a:ext uri="{FF2B5EF4-FFF2-40B4-BE49-F238E27FC236}">
              <a16:creationId xmlns:a16="http://schemas.microsoft.com/office/drawing/2014/main" id="{3BC86834-A6A0-F60F-AECA-A665425BCD8A}"/>
            </a:ext>
          </a:extLst>
        </xdr:cNvPr>
        <xdr:cNvSpPr/>
      </xdr:nvSpPr>
      <xdr:spPr>
        <a:xfrm>
          <a:off x="0" y="0"/>
          <a:ext cx="18021300" cy="7231380"/>
        </a:xfrm>
        <a:prstGeom prst="rect">
          <a:avLst/>
        </a:prstGeom>
        <a:solidFill>
          <a:srgbClr val="F5F0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18</xdr:col>
      <xdr:colOff>266700</xdr:colOff>
      <xdr:row>5</xdr:row>
      <xdr:rowOff>15240</xdr:rowOff>
    </xdr:to>
    <xdr:sp macro="" textlink="">
      <xdr:nvSpPr>
        <xdr:cNvPr id="4" name="Rectangle: Rounded Corners 3">
          <a:extLst>
            <a:ext uri="{FF2B5EF4-FFF2-40B4-BE49-F238E27FC236}">
              <a16:creationId xmlns:a16="http://schemas.microsoft.com/office/drawing/2014/main" id="{A10AB83A-6A11-57AF-3597-958E6017CD95}"/>
            </a:ext>
          </a:extLst>
        </xdr:cNvPr>
        <xdr:cNvSpPr/>
      </xdr:nvSpPr>
      <xdr:spPr>
        <a:xfrm>
          <a:off x="1" y="0"/>
          <a:ext cx="10991849" cy="1053465"/>
        </a:xfrm>
        <a:prstGeom prst="roundRect">
          <a:avLst/>
        </a:prstGeom>
        <a:solidFill>
          <a:srgbClr val="7F1D3A"/>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en-IN" sz="4000" b="1" i="1">
              <a:ln>
                <a:solidFill>
                  <a:schemeClr val="accent2"/>
                </a:solidFill>
              </a:ln>
              <a:solidFill>
                <a:schemeClr val="bg1"/>
              </a:solidFill>
              <a:effectLst>
                <a:outerShdw blurRad="60007" dist="310007" dir="7680000" sy="30000" kx="1300200" algn="ctr" rotWithShape="0">
                  <a:prstClr val="black">
                    <a:alpha val="32000"/>
                  </a:prstClr>
                </a:outerShdw>
              </a:effectLst>
              <a:latin typeface="+mn-lt"/>
              <a:cs typeface="Angsana New" panose="02020603050405020304" pitchFamily="18" charset="-34"/>
            </a:rPr>
            <a:t>ScamScope: Cyber Fraud Analytics</a:t>
          </a:r>
        </a:p>
        <a:p>
          <a:pPr algn="ctr"/>
          <a:r>
            <a:rPr lang="en-IN" sz="1500">
              <a:latin typeface="+mj-lt"/>
            </a:rPr>
            <a:t>Understanding scam patterns, financial losses &amp; recovery trends</a:t>
          </a:r>
          <a:endParaRPr lang="en-IN" sz="1500" b="1" i="1">
            <a:ln>
              <a:solidFill>
                <a:schemeClr val="accent2"/>
              </a:solidFill>
            </a:ln>
            <a:solidFill>
              <a:schemeClr val="bg1"/>
            </a:solidFill>
            <a:effectLst>
              <a:outerShdw blurRad="60007" dist="310007" dir="7680000" sy="30000" kx="1300200" algn="ctr" rotWithShape="0">
                <a:prstClr val="black">
                  <a:alpha val="32000"/>
                </a:prstClr>
              </a:outerShdw>
            </a:effectLst>
            <a:latin typeface="+mj-lt"/>
            <a:cs typeface="Angsana New" panose="02020603050405020304" pitchFamily="18" charset="-34"/>
          </a:endParaRPr>
        </a:p>
      </xdr:txBody>
    </xdr:sp>
    <xdr:clientData/>
  </xdr:twoCellAnchor>
  <xdr:twoCellAnchor>
    <xdr:from>
      <xdr:col>14</xdr:col>
      <xdr:colOff>266700</xdr:colOff>
      <xdr:row>5</xdr:row>
      <xdr:rowOff>68580</xdr:rowOff>
    </xdr:from>
    <xdr:to>
      <xdr:col>18</xdr:col>
      <xdr:colOff>259080</xdr:colOff>
      <xdr:row>10</xdr:row>
      <xdr:rowOff>38100</xdr:rowOff>
    </xdr:to>
    <xdr:sp macro="" textlink="">
      <xdr:nvSpPr>
        <xdr:cNvPr id="9" name="Rectangle: Rounded Corners 8">
          <a:extLst>
            <a:ext uri="{FF2B5EF4-FFF2-40B4-BE49-F238E27FC236}">
              <a16:creationId xmlns:a16="http://schemas.microsoft.com/office/drawing/2014/main" id="{DBC73510-E948-4262-AB02-CB86BC4CA901}"/>
            </a:ext>
          </a:extLst>
        </xdr:cNvPr>
        <xdr:cNvSpPr/>
      </xdr:nvSpPr>
      <xdr:spPr>
        <a:xfrm>
          <a:off x="8553450" y="1106805"/>
          <a:ext cx="2430780" cy="874395"/>
        </a:xfrm>
        <a:prstGeom prst="roundRect">
          <a:avLst/>
        </a:prstGeom>
        <a:solidFill>
          <a:srgbClr val="E8DFF5"/>
        </a:solidFill>
        <a:ln>
          <a:solidFill>
            <a:srgbClr val="E7C9D0"/>
          </a:solidFill>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endParaRPr lang="en-US" sz="3200"/>
        </a:p>
      </xdr:txBody>
    </xdr:sp>
    <xdr:clientData/>
  </xdr:twoCellAnchor>
  <xdr:twoCellAnchor>
    <xdr:from>
      <xdr:col>10</xdr:col>
      <xdr:colOff>114301</xdr:colOff>
      <xdr:row>5</xdr:row>
      <xdr:rowOff>64770</xdr:rowOff>
    </xdr:from>
    <xdr:to>
      <xdr:col>14</xdr:col>
      <xdr:colOff>148590</xdr:colOff>
      <xdr:row>10</xdr:row>
      <xdr:rowOff>43815</xdr:rowOff>
    </xdr:to>
    <xdr:sp macro="" textlink="">
      <xdr:nvSpPr>
        <xdr:cNvPr id="12" name="Rectangle: Rounded Corners 11">
          <a:extLst>
            <a:ext uri="{FF2B5EF4-FFF2-40B4-BE49-F238E27FC236}">
              <a16:creationId xmlns:a16="http://schemas.microsoft.com/office/drawing/2014/main" id="{4365C254-197C-4A9A-B852-8A1347246D8B}"/>
            </a:ext>
          </a:extLst>
        </xdr:cNvPr>
        <xdr:cNvSpPr/>
      </xdr:nvSpPr>
      <xdr:spPr>
        <a:xfrm>
          <a:off x="5962651" y="1102995"/>
          <a:ext cx="2472689" cy="883920"/>
        </a:xfrm>
        <a:prstGeom prst="roundRect">
          <a:avLst/>
        </a:prstGeom>
        <a:solidFill>
          <a:srgbClr val="DDECE3"/>
        </a:solidFill>
        <a:ln>
          <a:solidFill>
            <a:srgbClr val="E7C9D0"/>
          </a:solidFill>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endParaRPr lang="en-US" sz="3200"/>
        </a:p>
      </xdr:txBody>
    </xdr:sp>
    <xdr:clientData/>
  </xdr:twoCellAnchor>
  <xdr:twoCellAnchor>
    <xdr:from>
      <xdr:col>5</xdr:col>
      <xdr:colOff>78106</xdr:colOff>
      <xdr:row>5</xdr:row>
      <xdr:rowOff>76200</xdr:rowOff>
    </xdr:from>
    <xdr:to>
      <xdr:col>9</xdr:col>
      <xdr:colOff>449580</xdr:colOff>
      <xdr:row>10</xdr:row>
      <xdr:rowOff>28575</xdr:rowOff>
    </xdr:to>
    <xdr:sp macro="" textlink="">
      <xdr:nvSpPr>
        <xdr:cNvPr id="13" name="Rectangle: Rounded Corners 12">
          <a:extLst>
            <a:ext uri="{FF2B5EF4-FFF2-40B4-BE49-F238E27FC236}">
              <a16:creationId xmlns:a16="http://schemas.microsoft.com/office/drawing/2014/main" id="{5E28CA5C-65F1-44F1-AD9C-444A0A2B3068}"/>
            </a:ext>
          </a:extLst>
        </xdr:cNvPr>
        <xdr:cNvSpPr/>
      </xdr:nvSpPr>
      <xdr:spPr>
        <a:xfrm>
          <a:off x="2878456" y="1114425"/>
          <a:ext cx="2809874" cy="857250"/>
        </a:xfrm>
        <a:prstGeom prst="roundRect">
          <a:avLst/>
        </a:prstGeom>
        <a:solidFill>
          <a:srgbClr val="FBE2D5"/>
        </a:solidFill>
        <a:ln>
          <a:solidFill>
            <a:srgbClr val="E7C9D0"/>
          </a:solidFill>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endParaRPr lang="en-US" sz="3200"/>
        </a:p>
      </xdr:txBody>
    </xdr:sp>
    <xdr:clientData/>
  </xdr:twoCellAnchor>
  <xdr:twoCellAnchor>
    <xdr:from>
      <xdr:col>0</xdr:col>
      <xdr:colOff>224790</xdr:colOff>
      <xdr:row>5</xdr:row>
      <xdr:rowOff>66675</xdr:rowOff>
    </xdr:from>
    <xdr:to>
      <xdr:col>4</xdr:col>
      <xdr:colOff>453390</xdr:colOff>
      <xdr:row>10</xdr:row>
      <xdr:rowOff>24765</xdr:rowOff>
    </xdr:to>
    <xdr:sp macro="" textlink="">
      <xdr:nvSpPr>
        <xdr:cNvPr id="14" name="Rectangle: Rounded Corners 13">
          <a:extLst>
            <a:ext uri="{FF2B5EF4-FFF2-40B4-BE49-F238E27FC236}">
              <a16:creationId xmlns:a16="http://schemas.microsoft.com/office/drawing/2014/main" id="{FCEAFFBD-BC9A-4474-B429-2A96C2466BB8}"/>
            </a:ext>
          </a:extLst>
        </xdr:cNvPr>
        <xdr:cNvSpPr/>
      </xdr:nvSpPr>
      <xdr:spPr>
        <a:xfrm>
          <a:off x="224790" y="1104900"/>
          <a:ext cx="2419350" cy="862965"/>
        </a:xfrm>
        <a:prstGeom prst="roundRect">
          <a:avLst/>
        </a:prstGeom>
        <a:solidFill>
          <a:srgbClr val="F4E1E5"/>
        </a:solidFill>
        <a:ln>
          <a:solidFill>
            <a:srgbClr val="E7C9D0"/>
          </a:solidFill>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endParaRPr lang="en-IN" sz="3200" b="1">
            <a:solidFill>
              <a:srgbClr val="5B2333"/>
            </a:solidFill>
          </a:endParaRPr>
        </a:p>
      </xdr:txBody>
    </xdr:sp>
    <xdr:clientData/>
  </xdr:twoCellAnchor>
  <xdr:twoCellAnchor>
    <xdr:from>
      <xdr:col>1</xdr:col>
      <xdr:colOff>76200</xdr:colOff>
      <xdr:row>5</xdr:row>
      <xdr:rowOff>160020</xdr:rowOff>
    </xdr:from>
    <xdr:to>
      <xdr:col>4</xdr:col>
      <xdr:colOff>154305</xdr:colOff>
      <xdr:row>7</xdr:row>
      <xdr:rowOff>62865</xdr:rowOff>
    </xdr:to>
    <xdr:sp macro="" textlink="">
      <xdr:nvSpPr>
        <xdr:cNvPr id="15" name="Rectangle 14">
          <a:extLst>
            <a:ext uri="{FF2B5EF4-FFF2-40B4-BE49-F238E27FC236}">
              <a16:creationId xmlns:a16="http://schemas.microsoft.com/office/drawing/2014/main" id="{4C884E5E-C641-3DAF-0ECB-B596B98DA8A4}"/>
            </a:ext>
          </a:extLst>
        </xdr:cNvPr>
        <xdr:cNvSpPr/>
      </xdr:nvSpPr>
      <xdr:spPr>
        <a:xfrm>
          <a:off x="685800" y="1198245"/>
          <a:ext cx="1659255" cy="264795"/>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200" b="1">
              <a:solidFill>
                <a:srgbClr val="5B2333"/>
              </a:solidFill>
              <a:latin typeface="Aptos ExtraBold" panose="020B0004020202020204" pitchFamily="34" charset="0"/>
            </a:rPr>
            <a:t>TOTAL COMPLAINTS</a:t>
          </a:r>
        </a:p>
      </xdr:txBody>
    </xdr:sp>
    <xdr:clientData/>
  </xdr:twoCellAnchor>
  <xdr:twoCellAnchor>
    <xdr:from>
      <xdr:col>6</xdr:col>
      <xdr:colOff>91440</xdr:colOff>
      <xdr:row>5</xdr:row>
      <xdr:rowOff>173355</xdr:rowOff>
    </xdr:from>
    <xdr:to>
      <xdr:col>8</xdr:col>
      <xdr:colOff>560070</xdr:colOff>
      <xdr:row>7</xdr:row>
      <xdr:rowOff>78105</xdr:rowOff>
    </xdr:to>
    <xdr:sp macro="" textlink="">
      <xdr:nvSpPr>
        <xdr:cNvPr id="16" name="Rectangle 15">
          <a:extLst>
            <a:ext uri="{FF2B5EF4-FFF2-40B4-BE49-F238E27FC236}">
              <a16:creationId xmlns:a16="http://schemas.microsoft.com/office/drawing/2014/main" id="{7CBBCD11-214D-428D-A211-5E3EEAE96A29}"/>
            </a:ext>
          </a:extLst>
        </xdr:cNvPr>
        <xdr:cNvSpPr/>
      </xdr:nvSpPr>
      <xdr:spPr>
        <a:xfrm>
          <a:off x="3501390" y="1211580"/>
          <a:ext cx="1687830" cy="266700"/>
        </a:xfrm>
        <a:prstGeom prst="rect">
          <a:avLst/>
        </a:prstGeom>
        <a:solidFill>
          <a:srgbClr val="FBE5D6"/>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lvl="0" algn="ctr"/>
          <a:r>
            <a:rPr lang="en-IN" sz="1100" b="1">
              <a:solidFill>
                <a:srgbClr val="5B2333"/>
              </a:solidFill>
              <a:latin typeface="Aptos ExtraBold" panose="020B0004020202020204" pitchFamily="34" charset="0"/>
            </a:rPr>
            <a:t>TOTAL MONEY LOST</a:t>
          </a:r>
        </a:p>
      </xdr:txBody>
    </xdr:sp>
    <xdr:clientData/>
  </xdr:twoCellAnchor>
  <xdr:twoCellAnchor>
    <xdr:from>
      <xdr:col>11</xdr:col>
      <xdr:colOff>68580</xdr:colOff>
      <xdr:row>6</xdr:row>
      <xdr:rowOff>24765</xdr:rowOff>
    </xdr:from>
    <xdr:to>
      <xdr:col>13</xdr:col>
      <xdr:colOff>525780</xdr:colOff>
      <xdr:row>7</xdr:row>
      <xdr:rowOff>100965</xdr:rowOff>
    </xdr:to>
    <xdr:sp macro="" textlink="">
      <xdr:nvSpPr>
        <xdr:cNvPr id="17" name="Rectangle 16">
          <a:extLst>
            <a:ext uri="{FF2B5EF4-FFF2-40B4-BE49-F238E27FC236}">
              <a16:creationId xmlns:a16="http://schemas.microsoft.com/office/drawing/2014/main" id="{52F69F11-8665-4EE7-AB9D-0309921B812F}"/>
            </a:ext>
          </a:extLst>
        </xdr:cNvPr>
        <xdr:cNvSpPr/>
      </xdr:nvSpPr>
      <xdr:spPr>
        <a:xfrm>
          <a:off x="6526530" y="1243965"/>
          <a:ext cx="1676400" cy="257175"/>
        </a:xfrm>
        <a:prstGeom prst="rect">
          <a:avLst/>
        </a:prstGeom>
        <a:solidFill>
          <a:srgbClr val="D9EAD3"/>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lvl="0" algn="ctr"/>
          <a:r>
            <a:rPr lang="en-IN" sz="1100" b="1">
              <a:solidFill>
                <a:srgbClr val="5B2333"/>
              </a:solidFill>
              <a:latin typeface="Aptos ExtraBold" panose="020B0004020202020204" pitchFamily="34" charset="0"/>
            </a:rPr>
            <a:t>MONEY RECEVIED</a:t>
          </a:r>
        </a:p>
      </xdr:txBody>
    </xdr:sp>
    <xdr:clientData/>
  </xdr:twoCellAnchor>
  <xdr:twoCellAnchor>
    <xdr:from>
      <xdr:col>15</xdr:col>
      <xdr:colOff>102870</xdr:colOff>
      <xdr:row>5</xdr:row>
      <xdr:rowOff>160019</xdr:rowOff>
    </xdr:from>
    <xdr:to>
      <xdr:col>18</xdr:col>
      <xdr:colOff>62865</xdr:colOff>
      <xdr:row>7</xdr:row>
      <xdr:rowOff>66675</xdr:rowOff>
    </xdr:to>
    <xdr:sp macro="" textlink="">
      <xdr:nvSpPr>
        <xdr:cNvPr id="18" name="Rectangle 17">
          <a:extLst>
            <a:ext uri="{FF2B5EF4-FFF2-40B4-BE49-F238E27FC236}">
              <a16:creationId xmlns:a16="http://schemas.microsoft.com/office/drawing/2014/main" id="{D9370AC4-7976-4A47-9882-CA82ABE3798F}"/>
            </a:ext>
          </a:extLst>
        </xdr:cNvPr>
        <xdr:cNvSpPr/>
      </xdr:nvSpPr>
      <xdr:spPr>
        <a:xfrm>
          <a:off x="8999220" y="1198244"/>
          <a:ext cx="1788795" cy="268606"/>
        </a:xfrm>
        <a:prstGeom prst="rect">
          <a:avLst/>
        </a:prstGeom>
        <a:solidFill>
          <a:srgbClr val="E8DFF5"/>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lvl="0" algn="ctr"/>
          <a:r>
            <a:rPr lang="en-IN" sz="1100" b="1">
              <a:solidFill>
                <a:srgbClr val="5B2333"/>
              </a:solidFill>
              <a:latin typeface="Aptos ExtraBold" panose="020B0004020202020204" pitchFamily="34" charset="0"/>
            </a:rPr>
            <a:t>RECOVERY</a:t>
          </a:r>
          <a:r>
            <a:rPr lang="en-IN" sz="1100" b="1" baseline="0">
              <a:solidFill>
                <a:srgbClr val="5B2333"/>
              </a:solidFill>
              <a:latin typeface="Aptos ExtraBold" panose="020B0004020202020204" pitchFamily="34" charset="0"/>
            </a:rPr>
            <a:t> RATE</a:t>
          </a:r>
          <a:endParaRPr lang="en-IN" sz="1100" b="1">
            <a:solidFill>
              <a:srgbClr val="5B2333"/>
            </a:solidFill>
            <a:latin typeface="Aptos ExtraBold" panose="020B0004020202020204" pitchFamily="34" charset="0"/>
          </a:endParaRPr>
        </a:p>
      </xdr:txBody>
    </xdr:sp>
    <xdr:clientData/>
  </xdr:twoCellAnchor>
  <xdr:twoCellAnchor editAs="oneCell">
    <xdr:from>
      <xdr:col>0</xdr:col>
      <xdr:colOff>247650</xdr:colOff>
      <xdr:row>10</xdr:row>
      <xdr:rowOff>72390</xdr:rowOff>
    </xdr:from>
    <xdr:to>
      <xdr:col>3</xdr:col>
      <xdr:colOff>320205</xdr:colOff>
      <xdr:row>17</xdr:row>
      <xdr:rowOff>114300</xdr:rowOff>
    </xdr:to>
    <mc:AlternateContent xmlns:mc="http://schemas.openxmlformats.org/markup-compatibility/2006">
      <mc:Choice xmlns:a14="http://schemas.microsoft.com/office/drawing/2010/main" Requires="a14">
        <xdr:graphicFrame macro="">
          <xdr:nvGraphicFramePr>
            <xdr:cNvPr id="19" name="Scam_Type 1">
              <a:extLst>
                <a:ext uri="{FF2B5EF4-FFF2-40B4-BE49-F238E27FC236}">
                  <a16:creationId xmlns:a16="http://schemas.microsoft.com/office/drawing/2014/main" id="{7D83BFE5-6347-4701-9C51-7AEBC24E8F9F}"/>
                </a:ext>
              </a:extLst>
            </xdr:cNvPr>
            <xdr:cNvGraphicFramePr/>
          </xdr:nvGraphicFramePr>
          <xdr:xfrm>
            <a:off x="0" y="0"/>
            <a:ext cx="0" cy="0"/>
          </xdr:xfrm>
          <a:graphic>
            <a:graphicData uri="http://schemas.microsoft.com/office/drawing/2010/slicer">
              <sle:slicer xmlns:sle="http://schemas.microsoft.com/office/drawing/2010/slicer" name="Scam_Type 1"/>
            </a:graphicData>
          </a:graphic>
        </xdr:graphicFrame>
      </mc:Choice>
      <mc:Fallback>
        <xdr:sp macro="" textlink="">
          <xdr:nvSpPr>
            <xdr:cNvPr id="0" name=""/>
            <xdr:cNvSpPr>
              <a:spLocks noTextEdit="1"/>
            </xdr:cNvSpPr>
          </xdr:nvSpPr>
          <xdr:spPr>
            <a:xfrm>
              <a:off x="243840" y="2015490"/>
              <a:ext cx="1908975" cy="1308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268605</xdr:colOff>
      <xdr:row>18</xdr:row>
      <xdr:rowOff>40005</xdr:rowOff>
    </xdr:from>
    <xdr:to>
      <xdr:col>3</xdr:col>
      <xdr:colOff>344970</xdr:colOff>
      <xdr:row>23</xdr:row>
      <xdr:rowOff>140970</xdr:rowOff>
    </xdr:to>
    <mc:AlternateContent xmlns:mc="http://schemas.openxmlformats.org/markup-compatibility/2006">
      <mc:Choice xmlns:a14="http://schemas.microsoft.com/office/drawing/2010/main" Requires="a14">
        <xdr:graphicFrame macro="">
          <xdr:nvGraphicFramePr>
            <xdr:cNvPr id="20" name="Payment_Channel 1">
              <a:extLst>
                <a:ext uri="{FF2B5EF4-FFF2-40B4-BE49-F238E27FC236}">
                  <a16:creationId xmlns:a16="http://schemas.microsoft.com/office/drawing/2014/main" id="{CE3C3CD6-4583-4F12-AB88-5344E9DF4AD0}"/>
                </a:ext>
              </a:extLst>
            </xdr:cNvPr>
            <xdr:cNvGraphicFramePr/>
          </xdr:nvGraphicFramePr>
          <xdr:xfrm>
            <a:off x="0" y="0"/>
            <a:ext cx="0" cy="0"/>
          </xdr:xfrm>
          <a:graphic>
            <a:graphicData uri="http://schemas.microsoft.com/office/drawing/2010/slicer">
              <sle:slicer xmlns:sle="http://schemas.microsoft.com/office/drawing/2010/slicer" name="Payment_Channel 1"/>
            </a:graphicData>
          </a:graphic>
        </xdr:graphicFrame>
      </mc:Choice>
      <mc:Fallback>
        <xdr:sp macro="" textlink="">
          <xdr:nvSpPr>
            <xdr:cNvPr id="0" name=""/>
            <xdr:cNvSpPr>
              <a:spLocks noTextEdit="1"/>
            </xdr:cNvSpPr>
          </xdr:nvSpPr>
          <xdr:spPr>
            <a:xfrm>
              <a:off x="268605" y="3430905"/>
              <a:ext cx="1905165" cy="1003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24</xdr:row>
      <xdr:rowOff>30480</xdr:rowOff>
    </xdr:from>
    <xdr:to>
      <xdr:col>4</xdr:col>
      <xdr:colOff>27615</xdr:colOff>
      <xdr:row>29</xdr:row>
      <xdr:rowOff>104775</xdr:rowOff>
    </xdr:to>
    <mc:AlternateContent xmlns:mc="http://schemas.openxmlformats.org/markup-compatibility/2006">
      <mc:Choice xmlns:a14="http://schemas.microsoft.com/office/drawing/2010/main" Requires="a14">
        <xdr:graphicFrame macro="">
          <xdr:nvGraphicFramePr>
            <xdr:cNvPr id="21" name="State 1">
              <a:extLst>
                <a:ext uri="{FF2B5EF4-FFF2-40B4-BE49-F238E27FC236}">
                  <a16:creationId xmlns:a16="http://schemas.microsoft.com/office/drawing/2014/main" id="{162069C4-539B-4E55-BA0E-E9D0E3C0FB7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40030" y="4505325"/>
              <a:ext cx="1976430" cy="979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266693</xdr:colOff>
      <xdr:row>29</xdr:row>
      <xdr:rowOff>150487</xdr:rowOff>
    </xdr:from>
    <xdr:to>
      <xdr:col>4</xdr:col>
      <xdr:colOff>38100</xdr:colOff>
      <xdr:row>37</xdr:row>
      <xdr:rowOff>131445</xdr:rowOff>
    </xdr:to>
    <mc:AlternateContent xmlns:mc="http://schemas.openxmlformats.org/markup-compatibility/2006">
      <mc:Choice xmlns:tsle="http://schemas.microsoft.com/office/drawing/2012/timeslicer" Requires="tsle">
        <xdr:graphicFrame macro="">
          <xdr:nvGraphicFramePr>
            <xdr:cNvPr id="22" name="Complaint_Date 1">
              <a:extLst>
                <a:ext uri="{FF2B5EF4-FFF2-40B4-BE49-F238E27FC236}">
                  <a16:creationId xmlns:a16="http://schemas.microsoft.com/office/drawing/2014/main" id="{1116EBD9-6FA2-420D-BA65-42D80FC5551C}"/>
                </a:ext>
              </a:extLst>
            </xdr:cNvPr>
            <xdr:cNvGraphicFramePr/>
          </xdr:nvGraphicFramePr>
          <xdr:xfrm>
            <a:off x="0" y="0"/>
            <a:ext cx="0" cy="0"/>
          </xdr:xfrm>
          <a:graphic>
            <a:graphicData uri="http://schemas.microsoft.com/office/drawing/2012/timeslicer">
              <tsle:timeslicer xmlns:tsle="http://schemas.microsoft.com/office/drawing/2012/timeslicer" name="Complaint_Date 1"/>
            </a:graphicData>
          </a:graphic>
        </xdr:graphicFrame>
      </mc:Choice>
      <mc:Fallback>
        <xdr:sp macro="" textlink="">
          <xdr:nvSpPr>
            <xdr:cNvPr id="0" name=""/>
            <xdr:cNvSpPr>
              <a:spLocks noTextEdit="1"/>
            </xdr:cNvSpPr>
          </xdr:nvSpPr>
          <xdr:spPr>
            <a:xfrm>
              <a:off x="266693" y="5532112"/>
              <a:ext cx="1962157" cy="14325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104775</xdr:colOff>
      <xdr:row>24</xdr:row>
      <xdr:rowOff>76200</xdr:rowOff>
    </xdr:from>
    <xdr:to>
      <xdr:col>12</xdr:col>
      <xdr:colOff>19050</xdr:colOff>
      <xdr:row>37</xdr:row>
      <xdr:rowOff>76200</xdr:rowOff>
    </xdr:to>
    <xdr:graphicFrame macro="">
      <xdr:nvGraphicFramePr>
        <xdr:cNvPr id="23" name="Complaints by Scam Type.">
          <a:extLst>
            <a:ext uri="{FF2B5EF4-FFF2-40B4-BE49-F238E27FC236}">
              <a16:creationId xmlns:a16="http://schemas.microsoft.com/office/drawing/2014/main" id="{54100A62-1900-435B-A661-0F7ACC98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59054</xdr:colOff>
      <xdr:row>10</xdr:row>
      <xdr:rowOff>112395</xdr:rowOff>
    </xdr:from>
    <xdr:to>
      <xdr:col>12</xdr:col>
      <xdr:colOff>15240</xdr:colOff>
      <xdr:row>23</xdr:row>
      <xdr:rowOff>167640</xdr:rowOff>
    </xdr:to>
    <xdr:graphicFrame macro="">
      <xdr:nvGraphicFramePr>
        <xdr:cNvPr id="24" name="Chart 23">
          <a:extLst>
            <a:ext uri="{FF2B5EF4-FFF2-40B4-BE49-F238E27FC236}">
              <a16:creationId xmlns:a16="http://schemas.microsoft.com/office/drawing/2014/main" id="{0630C77B-4293-4B8D-AFE8-F3A60DB83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76201</xdr:colOff>
      <xdr:row>10</xdr:row>
      <xdr:rowOff>110490</xdr:rowOff>
    </xdr:from>
    <xdr:to>
      <xdr:col>18</xdr:col>
      <xdr:colOff>205741</xdr:colOff>
      <xdr:row>23</xdr:row>
      <xdr:rowOff>142875</xdr:rowOff>
    </xdr:to>
    <xdr:graphicFrame macro="">
      <xdr:nvGraphicFramePr>
        <xdr:cNvPr id="25" name="Recovered vs. Unrecovered Money by Scam Type">
          <a:extLst>
            <a:ext uri="{FF2B5EF4-FFF2-40B4-BE49-F238E27FC236}">
              <a16:creationId xmlns:a16="http://schemas.microsoft.com/office/drawing/2014/main" id="{57AB66CC-CC2C-47B7-BA0E-4BF65A566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114301</xdr:colOff>
      <xdr:row>24</xdr:row>
      <xdr:rowOff>76200</xdr:rowOff>
    </xdr:from>
    <xdr:to>
      <xdr:col>18</xdr:col>
      <xdr:colOff>205741</xdr:colOff>
      <xdr:row>37</xdr:row>
      <xdr:rowOff>72390</xdr:rowOff>
    </xdr:to>
    <xdr:graphicFrame macro="">
      <xdr:nvGraphicFramePr>
        <xdr:cNvPr id="26" name="Chart 25">
          <a:extLst>
            <a:ext uri="{FF2B5EF4-FFF2-40B4-BE49-F238E27FC236}">
              <a16:creationId xmlns:a16="http://schemas.microsoft.com/office/drawing/2014/main" id="{2A09C9C7-2472-4F70-94F4-0C5B18DEA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463894</xdr:colOff>
      <xdr:row>5</xdr:row>
      <xdr:rowOff>83821</xdr:rowOff>
    </xdr:from>
    <xdr:to>
      <xdr:col>1</xdr:col>
      <xdr:colOff>230505</xdr:colOff>
      <xdr:row>7</xdr:row>
      <xdr:rowOff>92051</xdr:rowOff>
    </xdr:to>
    <xdr:pic>
      <xdr:nvPicPr>
        <xdr:cNvPr id="28" name="Graphic 27" descr="Clipboard Checked with solid fill">
          <a:extLst>
            <a:ext uri="{FF2B5EF4-FFF2-40B4-BE49-F238E27FC236}">
              <a16:creationId xmlns:a16="http://schemas.microsoft.com/office/drawing/2014/main" id="{24521F08-F06B-35B1-92D8-271B612745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3894" y="1122046"/>
          <a:ext cx="376211" cy="373990"/>
        </a:xfrm>
        <a:prstGeom prst="rect">
          <a:avLst/>
        </a:prstGeom>
      </xdr:spPr>
    </xdr:pic>
    <xdr:clientData/>
  </xdr:twoCellAnchor>
  <xdr:twoCellAnchor editAs="oneCell">
    <xdr:from>
      <xdr:col>5</xdr:col>
      <xdr:colOff>407670</xdr:colOff>
      <xdr:row>5</xdr:row>
      <xdr:rowOff>116205</xdr:rowOff>
    </xdr:from>
    <xdr:to>
      <xdr:col>6</xdr:col>
      <xdr:colOff>215265</xdr:colOff>
      <xdr:row>7</xdr:row>
      <xdr:rowOff>172323</xdr:rowOff>
    </xdr:to>
    <xdr:pic>
      <xdr:nvPicPr>
        <xdr:cNvPr id="40" name="Graphic 39" descr="Wallet outline">
          <a:extLst>
            <a:ext uri="{FF2B5EF4-FFF2-40B4-BE49-F238E27FC236}">
              <a16:creationId xmlns:a16="http://schemas.microsoft.com/office/drawing/2014/main" id="{D16233DD-591E-0110-EC3E-698516DB92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08020" y="1154430"/>
          <a:ext cx="419100" cy="414258"/>
        </a:xfrm>
        <a:prstGeom prst="rect">
          <a:avLst/>
        </a:prstGeom>
      </xdr:spPr>
    </xdr:pic>
    <xdr:clientData/>
  </xdr:twoCellAnchor>
  <xdr:twoCellAnchor editAs="oneCell">
    <xdr:from>
      <xdr:col>10</xdr:col>
      <xdr:colOff>426720</xdr:colOff>
      <xdr:row>5</xdr:row>
      <xdr:rowOff>152401</xdr:rowOff>
    </xdr:from>
    <xdr:to>
      <xdr:col>11</xdr:col>
      <xdr:colOff>173355</xdr:colOff>
      <xdr:row>7</xdr:row>
      <xdr:rowOff>134753</xdr:rowOff>
    </xdr:to>
    <xdr:pic>
      <xdr:nvPicPr>
        <xdr:cNvPr id="44" name="Picture 43">
          <a:extLst>
            <a:ext uri="{FF2B5EF4-FFF2-40B4-BE49-F238E27FC236}">
              <a16:creationId xmlns:a16="http://schemas.microsoft.com/office/drawing/2014/main" id="{E9F3055D-A601-D822-5078-E30F1783FD28}"/>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50000"/>
                  </a14:imgEffect>
                </a14:imgLayer>
              </a14:imgProps>
            </a:ext>
          </a:extLst>
        </a:blip>
        <a:stretch>
          <a:fillRect/>
        </a:stretch>
      </xdr:blipFill>
      <xdr:spPr>
        <a:xfrm>
          <a:off x="6275070" y="1190626"/>
          <a:ext cx="352425" cy="340492"/>
        </a:xfrm>
        <a:prstGeom prst="rect">
          <a:avLst/>
        </a:prstGeom>
        <a:ln>
          <a:noFill/>
        </a:ln>
      </xdr:spPr>
    </xdr:pic>
    <xdr:clientData/>
  </xdr:twoCellAnchor>
  <xdr:twoCellAnchor editAs="oneCell">
    <xdr:from>
      <xdr:col>15</xdr:col>
      <xdr:colOff>93347</xdr:colOff>
      <xdr:row>5</xdr:row>
      <xdr:rowOff>127488</xdr:rowOff>
    </xdr:from>
    <xdr:to>
      <xdr:col>15</xdr:col>
      <xdr:colOff>415291</xdr:colOff>
      <xdr:row>7</xdr:row>
      <xdr:rowOff>76692</xdr:rowOff>
    </xdr:to>
    <xdr:pic>
      <xdr:nvPicPr>
        <xdr:cNvPr id="46" name="Graphic 45" descr="Bar graph with upward trend with solid fill">
          <a:extLst>
            <a:ext uri="{FF2B5EF4-FFF2-40B4-BE49-F238E27FC236}">
              <a16:creationId xmlns:a16="http://schemas.microsoft.com/office/drawing/2014/main" id="{B2F2E0E3-3607-AD82-3BC3-CA0F4F9124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89697" y="1165713"/>
          <a:ext cx="321944" cy="311154"/>
        </a:xfrm>
        <a:prstGeom prst="rect">
          <a:avLst/>
        </a:prstGeom>
      </xdr:spPr>
    </xdr:pic>
    <xdr:clientData/>
  </xdr:twoCellAnchor>
  <xdr:twoCellAnchor>
    <xdr:from>
      <xdr:col>1</xdr:col>
      <xdr:colOff>154305</xdr:colOff>
      <xdr:row>7</xdr:row>
      <xdr:rowOff>87630</xdr:rowOff>
    </xdr:from>
    <xdr:to>
      <xdr:col>3</xdr:col>
      <xdr:colOff>285750</xdr:colOff>
      <xdr:row>9</xdr:row>
      <xdr:rowOff>129540</xdr:rowOff>
    </xdr:to>
    <xdr:sp macro="" textlink="'Pivot _Analysis'!$A$4">
      <xdr:nvSpPr>
        <xdr:cNvPr id="47" name="TextBox 46">
          <a:extLst>
            <a:ext uri="{FF2B5EF4-FFF2-40B4-BE49-F238E27FC236}">
              <a16:creationId xmlns:a16="http://schemas.microsoft.com/office/drawing/2014/main" id="{1D08177E-54DC-854E-F975-3EE7E968F54C}"/>
            </a:ext>
          </a:extLst>
        </xdr:cNvPr>
        <xdr:cNvSpPr txBox="1"/>
      </xdr:nvSpPr>
      <xdr:spPr>
        <a:xfrm>
          <a:off x="763905" y="1487805"/>
          <a:ext cx="1350645" cy="403860"/>
        </a:xfrm>
        <a:prstGeom prst="rect">
          <a:avLst/>
        </a:prstGeom>
        <a:solidFill>
          <a:srgbClr val="F4E1E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7D0D9E-3DC5-4FEA-A179-24103434039D}" type="TxLink">
            <a:rPr lang="en-US" sz="2800" b="1" i="0" u="none" strike="noStrike">
              <a:solidFill>
                <a:srgbClr val="7F1D3A"/>
              </a:solidFill>
              <a:latin typeface="Aptos ExtraBold" panose="020B0004020202020204" pitchFamily="34" charset="0"/>
              <a:ea typeface="Calibri"/>
              <a:cs typeface="Calibri"/>
            </a:rPr>
            <a:pPr algn="ctr"/>
            <a:t>20</a:t>
          </a:fld>
          <a:endParaRPr lang="en-IN" sz="2800" b="1">
            <a:solidFill>
              <a:srgbClr val="7F1D3A"/>
            </a:solidFill>
            <a:latin typeface="Aptos ExtraBold" panose="020B0004020202020204" pitchFamily="34" charset="0"/>
          </a:endParaRPr>
        </a:p>
      </xdr:txBody>
    </xdr:sp>
    <xdr:clientData/>
  </xdr:twoCellAnchor>
  <xdr:twoCellAnchor>
    <xdr:from>
      <xdr:col>6</xdr:col>
      <xdr:colOff>182881</xdr:colOff>
      <xdr:row>6</xdr:row>
      <xdr:rowOff>175259</xdr:rowOff>
    </xdr:from>
    <xdr:to>
      <xdr:col>8</xdr:col>
      <xdr:colOff>302896</xdr:colOff>
      <xdr:row>9</xdr:row>
      <xdr:rowOff>89534</xdr:rowOff>
    </xdr:to>
    <xdr:sp macro="" textlink="'Pivot _Analysis'!$B$7">
      <xdr:nvSpPr>
        <xdr:cNvPr id="48" name="TextBox 47">
          <a:extLst>
            <a:ext uri="{FF2B5EF4-FFF2-40B4-BE49-F238E27FC236}">
              <a16:creationId xmlns:a16="http://schemas.microsoft.com/office/drawing/2014/main" id="{7EE2BEA8-AF1F-4BE7-B660-7C6B642874FA}"/>
            </a:ext>
          </a:extLst>
        </xdr:cNvPr>
        <xdr:cNvSpPr txBox="1"/>
      </xdr:nvSpPr>
      <xdr:spPr>
        <a:xfrm>
          <a:off x="3592831" y="1394459"/>
          <a:ext cx="1339215" cy="457200"/>
        </a:xfrm>
        <a:prstGeom prst="rect">
          <a:avLst/>
        </a:prstGeom>
        <a:solidFill>
          <a:srgbClr val="FBE2D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247A8C-6166-4D36-9178-655BC9789F7B}" type="TxLink">
            <a:rPr lang="en-US" sz="3200" b="1" i="0" u="none" strike="noStrike">
              <a:solidFill>
                <a:srgbClr val="B45335"/>
              </a:solidFill>
              <a:latin typeface="Aptos ExtraBold" panose="020B0004020202020204" pitchFamily="34" charset="0"/>
              <a:ea typeface="Calibri"/>
              <a:cs typeface="Calibri"/>
            </a:rPr>
            <a:pPr algn="ctr"/>
            <a:t>491400</a:t>
          </a:fld>
          <a:endParaRPr lang="en-IN" sz="3200" b="1">
            <a:solidFill>
              <a:srgbClr val="B45335"/>
            </a:solidFill>
            <a:latin typeface="Aptos ExtraBold" panose="020B0004020202020204" pitchFamily="34" charset="0"/>
          </a:endParaRPr>
        </a:p>
      </xdr:txBody>
    </xdr:sp>
    <xdr:clientData/>
  </xdr:twoCellAnchor>
  <xdr:twoCellAnchor>
    <xdr:from>
      <xdr:col>11</xdr:col>
      <xdr:colOff>133351</xdr:colOff>
      <xdr:row>7</xdr:row>
      <xdr:rowOff>135255</xdr:rowOff>
    </xdr:from>
    <xdr:to>
      <xdr:col>13</xdr:col>
      <xdr:colOff>257176</xdr:colOff>
      <xdr:row>10</xdr:row>
      <xdr:rowOff>43815</xdr:rowOff>
    </xdr:to>
    <xdr:sp macro="" textlink="'Pivot _Analysis'!$D$8">
      <xdr:nvSpPr>
        <xdr:cNvPr id="49" name="TextBox 48">
          <a:extLst>
            <a:ext uri="{FF2B5EF4-FFF2-40B4-BE49-F238E27FC236}">
              <a16:creationId xmlns:a16="http://schemas.microsoft.com/office/drawing/2014/main" id="{BBC47EA3-0124-4931-B0E2-42D4D1073B5E}"/>
            </a:ext>
          </a:extLst>
        </xdr:cNvPr>
        <xdr:cNvSpPr txBox="1"/>
      </xdr:nvSpPr>
      <xdr:spPr>
        <a:xfrm>
          <a:off x="6591301" y="1535430"/>
          <a:ext cx="1343025" cy="451485"/>
        </a:xfrm>
        <a:prstGeom prst="rect">
          <a:avLst/>
        </a:prstGeom>
        <a:solidFill>
          <a:srgbClr val="DDECE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DCBC4A4-D980-48B8-8EEF-CF1C126616D5}" type="TxLink">
            <a:rPr lang="en-US" sz="3200" b="1" i="0" u="none" strike="noStrike">
              <a:solidFill>
                <a:srgbClr val="28745B"/>
              </a:solidFill>
              <a:latin typeface="Aptos ExtraBold" panose="020B0004020202020204" pitchFamily="34" charset="0"/>
              <a:ea typeface="Calibri"/>
              <a:cs typeface="Calibri"/>
            </a:rPr>
            <a:pPr algn="ctr"/>
            <a:t>88400</a:t>
          </a:fld>
          <a:endParaRPr lang="en-IN" sz="3200" b="1">
            <a:solidFill>
              <a:srgbClr val="28745B"/>
            </a:solidFill>
            <a:latin typeface="Aptos ExtraBold" panose="020B0004020202020204" pitchFamily="34" charset="0"/>
          </a:endParaRPr>
        </a:p>
      </xdr:txBody>
    </xdr:sp>
    <xdr:clientData/>
  </xdr:twoCellAnchor>
  <xdr:twoCellAnchor>
    <xdr:from>
      <xdr:col>15</xdr:col>
      <xdr:colOff>85724</xdr:colOff>
      <xdr:row>7</xdr:row>
      <xdr:rowOff>100965</xdr:rowOff>
    </xdr:from>
    <xdr:to>
      <xdr:col>18</xdr:col>
      <xdr:colOff>97154</xdr:colOff>
      <xdr:row>10</xdr:row>
      <xdr:rowOff>28575</xdr:rowOff>
    </xdr:to>
    <xdr:sp macro="" textlink="'Pivot _Analysis'!$F$7">
      <xdr:nvSpPr>
        <xdr:cNvPr id="50" name="TextBox 49">
          <a:extLst>
            <a:ext uri="{FF2B5EF4-FFF2-40B4-BE49-F238E27FC236}">
              <a16:creationId xmlns:a16="http://schemas.microsoft.com/office/drawing/2014/main" id="{3D8F3EDC-3D10-4E83-8200-4569E1705A96}"/>
            </a:ext>
          </a:extLst>
        </xdr:cNvPr>
        <xdr:cNvSpPr txBox="1"/>
      </xdr:nvSpPr>
      <xdr:spPr>
        <a:xfrm>
          <a:off x="8982074" y="1501140"/>
          <a:ext cx="1840230" cy="470535"/>
        </a:xfrm>
        <a:prstGeom prst="rect">
          <a:avLst/>
        </a:prstGeom>
        <a:solidFill>
          <a:srgbClr val="E8DF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EC8CC93-FA20-4BB8-A760-2BDBDD4F37B8}" type="TxLink">
            <a:rPr lang="en-US" sz="3200" b="0" i="0" u="none" strike="noStrike">
              <a:solidFill>
                <a:srgbClr val="6D4C8D"/>
              </a:solidFill>
              <a:latin typeface="Aptos ExtraBold" panose="020B0004020202020204" pitchFamily="34" charset="0"/>
              <a:ea typeface="Calibri"/>
              <a:cs typeface="Calibri"/>
            </a:rPr>
            <a:pPr algn="ctr"/>
            <a:t>17.99%</a:t>
          </a:fld>
          <a:endParaRPr lang="en-IN" sz="3200">
            <a:solidFill>
              <a:srgbClr val="6D4C8D"/>
            </a:solidFill>
            <a:latin typeface="Aptos ExtraBold" panose="020B00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1365739" backgroundQuery="1" createdVersion="8" refreshedVersion="8" minRefreshableVersion="3" recordCount="0" supportSubquery="1" supportAdvancedDrill="1" xr:uid="{21DB5B67-F607-4BAF-8EA5-9CD53442AE7A}">
  <cacheSource type="external" connectionId="1"/>
  <cacheFields count="1">
    <cacheField name="[Measures].[Sum of Amount_Recovered_INR]" caption="Sum of Amount_Recovered_INR" numFmtId="0" hierarchy="19" level="32767"/>
  </cacheFields>
  <cacheHierarchies count="21">
    <cacheHierarchy uniqueName="[tblScamData].[Complaint_ID]" caption="Complaint_ID" attribute="1" defaultMemberUniqueName="[tblScamData].[Complaint_ID].[All]" allUniqueName="[tblScamData].[Complaint_ID].[All]" dimensionUniqueName="[tblScamData]" displayFolder="" count="2"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2"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2"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2" memberValueDatatype="20" unbalanced="0"/>
    <cacheHierarchy uniqueName="[tblScamData].[Amount_On_Hold_INR]" caption="Amount_On_Hold_INR" attribute="1" defaultMemberUniqueName="[tblScamData].[Amount_On_Hold_INR].[All]" allUniqueName="[tblScamData].[Amount_On_Hold_INR].[All]" dimensionUniqueName="[tblScamData]" displayFolder="" count="2"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2"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2" memberValueDatatype="20" unbalanced="0"/>
    <cacheHierarchy uniqueName="[tblScamData].[Recovery_Rate]" caption="Recovery_Rate" attribute="1" defaultMemberUniqueName="[tblScamData].[Recovery_Rate].[All]" allUniqueName="[tblScamData].[Recovery_Rate].[All]" dimensionUniqueName="[tblScamData]" displayFolder="" count="2"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2"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2"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2"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1481485" backgroundQuery="1" createdVersion="8" refreshedVersion="8" minRefreshableVersion="3" recordCount="0" supportSubquery="1" supportAdvancedDrill="1" xr:uid="{B636308C-9100-4F80-92A0-77DBA199C3F8}">
  <cacheSource type="external" connectionId="1"/>
  <cacheFields count="1">
    <cacheField name="[Measures].[Count of Complaint_ID]" caption="Count of Complaint_ID" numFmtId="0" hierarchy="17" level="32767"/>
  </cacheFields>
  <cacheHierarchies count="21">
    <cacheHierarchy uniqueName="[tblScamData].[Complaint_ID]" caption="Complaint_ID" attribute="1" defaultMemberUniqueName="[tblScamData].[Complaint_ID].[All]" allUniqueName="[tblScamData].[Complaint_ID].[All]" dimensionUniqueName="[tblScamData]" displayFolder="" count="2"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2"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2"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2" memberValueDatatype="20" unbalanced="0"/>
    <cacheHierarchy uniqueName="[tblScamData].[Amount_On_Hold_INR]" caption="Amount_On_Hold_INR" attribute="1" defaultMemberUniqueName="[tblScamData].[Amount_On_Hold_INR].[All]" allUniqueName="[tblScamData].[Amount_On_Hold_INR].[All]" dimensionUniqueName="[tblScamData]" displayFolder="" count="2"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2"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2" memberValueDatatype="20" unbalanced="0"/>
    <cacheHierarchy uniqueName="[tblScamData].[Recovery_Rate]" caption="Recovery_Rate" attribute="1" defaultMemberUniqueName="[tblScamData].[Recovery_Rate].[All]" allUniqueName="[tblScamData].[Recovery_Rate].[All]" dimensionUniqueName="[tblScamData]" displayFolder="" count="2"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2"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2"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2"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1597223" backgroundQuery="1" createdVersion="8" refreshedVersion="8" minRefreshableVersion="3" recordCount="0" supportSubquery="1" supportAdvancedDrill="1" xr:uid="{3E86C45B-7F10-4EF7-83C4-2977194F5D58}">
  <cacheSource type="external" connectionId="1"/>
  <cacheFields count="1">
    <cacheField name="[Measures].[Sum of Amount_Lost_INR]" caption="Sum of Amount_Lost_INR" numFmtId="0" hierarchy="18" level="32767"/>
  </cacheFields>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2060185" backgroundQuery="1" createdVersion="8" refreshedVersion="8" minRefreshableVersion="3" recordCount="0" supportSubquery="1" supportAdvancedDrill="1" xr:uid="{05EBA063-5891-49C4-8ECE-F4CCC499F249}">
  <cacheSource type="external" connectionId="1"/>
  <cacheFields count="2">
    <cacheField name="[tblScamData].[Scam_Type].[Scam_Type]" caption="Scam_Type" numFmtId="0" hierarchy="2" level="1">
      <sharedItems count="7">
        <s v="Fake Customer Care"/>
        <s v="Fake Job Offer"/>
        <s v="Impersonation"/>
        <s v="Investment Scam"/>
        <s v="OTP Fraud"/>
        <s v="Phishing"/>
        <s v="UPI Scam"/>
      </sharedItems>
    </cacheField>
    <cacheField name="[Measures].[Sum of Amount_Lost_INR]" caption="Sum of Amount_Lost_INR" numFmtId="0" hierarchy="18" level="32767"/>
  </cacheFields>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fieldsUsage count="2">
        <fieldUsage x="-1"/>
        <fieldUsage x="0"/>
      </fieldsUsage>
    </cacheHierarchy>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2523147" backgroundQuery="1" createdVersion="8" refreshedVersion="8" minRefreshableVersion="3" recordCount="0" supportSubquery="1" supportAdvancedDrill="1" xr:uid="{41826D21-0372-4B6A-A387-76B80C4A1691}">
  <cacheSource type="external" connectionId="1"/>
  <cacheFields count="4">
    <cacheField name="[Measures].[Count of Complaint_ID]" caption="Count of Complaint_ID" numFmtId="0" hierarchy="17" level="32767"/>
    <cacheField name="[tblScamData].[Complaint_Date].[Complaint_Date]" caption="Complaint_Date" numFmtId="0" hierarchy="1" level="1">
      <sharedItems containsSemiMixedTypes="0" containsNonDate="0" containsDate="1" containsString="0" minDate="2026-01-04T00:00:00" maxDate="2026-03-09T00:00:00" count="20">
        <d v="2026-01-04T00:00:00"/>
        <d v="2026-01-06T00:00:00"/>
        <d v="2026-01-09T00:00:00"/>
        <d v="2026-01-11T00:00:00"/>
        <d v="2026-01-14T00:00:00"/>
        <d v="2026-01-18T00:00:00"/>
        <d v="2026-01-21T00:00:00"/>
        <d v="2026-01-25T00:00:00"/>
        <d v="2026-01-29T00:00:00"/>
        <d v="2026-02-02T00:00:00"/>
        <d v="2026-02-05T00:00:00"/>
        <d v="2026-02-08T00:00:00"/>
        <d v="2026-02-12T00:00:00"/>
        <d v="2026-02-15T00:00:00"/>
        <d v="2026-02-19T00:00:00"/>
        <d v="2026-02-23T00:00:00"/>
        <d v="2026-02-26T00:00:00"/>
        <d v="2026-03-01T00:00:00"/>
        <d v="2026-03-05T00:00:00"/>
        <d v="2026-03-08T00:00:00"/>
      </sharedItems>
    </cacheField>
    <cacheField name="[tblScamData].[Complaint_Date (Month)].[Complaint_Date (Month)]" caption="Complaint_Date (Month)" numFmtId="0" hierarchy="12" level="1">
      <sharedItems count="3">
        <s v="Jan"/>
        <s v="Feb"/>
        <s v="Mar"/>
      </sharedItems>
    </cacheField>
    <cacheField name="[tblScamData].[Complaint_Date (Year)].[Complaint_Date (Year)]" caption="Complaint_Date (Year)" numFmtId="0" hierarchy="13" level="1">
      <sharedItems count="1">
        <s v="2026"/>
      </sharedItems>
    </cacheField>
  </cacheFields>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fieldsUsage count="2">
        <fieldUsage x="-1"/>
        <fieldUsage x="1"/>
      </fieldsUsage>
    </cacheHierarchy>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2" memberValueDatatype="130" unbalanced="0">
      <fieldsUsage count="2">
        <fieldUsage x="-1"/>
        <fieldUsage x="2"/>
      </fieldsUsage>
    </cacheHierarchy>
    <cacheHierarchy uniqueName="[tblScamData].[Complaint_Date (Year)]" caption="Complaint_Date (Year)" attribute="1" defaultMemberUniqueName="[tblScamData].[Complaint_Date (Year)].[All]" allUniqueName="[tblScamData].[Complaint_Date (Year)].[All]" dimensionUniqueName="[tblScamData]" displayFolder="" count="2" memberValueDatatype="130" unbalanced="0">
      <fieldsUsage count="2">
        <fieldUsage x="-1"/>
        <fieldUsage x="3"/>
      </fieldsUsage>
    </cacheHierarchy>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3101855" backgroundQuery="1" createdVersion="8" refreshedVersion="8" minRefreshableVersion="3" recordCount="0" supportSubquery="1" supportAdvancedDrill="1" xr:uid="{BDBAC16B-E0E2-4751-A939-1FF265387F9F}">
  <cacheSource type="external" connectionId="1"/>
  <cacheFields count="2">
    <cacheField name="[Measures].[Sum of Amount_Recovered_INR]" caption="Sum of Amount_Recovered_INR" numFmtId="0" hierarchy="19" level="32767"/>
    <cacheField name="[Measures].[Sum of Unrecovered_Amount_INR]" caption="Sum of Unrecovered_Amount_INR" numFmtId="0" hierarchy="20" level="32767"/>
  </cacheFields>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658783680556" backgroundQuery="1" createdVersion="8" refreshedVersion="8" minRefreshableVersion="3" recordCount="0" supportSubquery="1" supportAdvancedDrill="1" xr:uid="{D8D57F48-B33D-44B5-8BD0-474E9B108689}">
  <cacheSource type="external" connectionId="1"/>
  <cacheFields count="2">
    <cacheField name="[Measures].[Count of Complaint_ID]" caption="Count of Complaint_ID" numFmtId="0" hierarchy="17" level="32767"/>
    <cacheField name="[tblScamData].[Scam_Type].[Scam_Type]" caption="Scam_Type" numFmtId="0" hierarchy="2" level="1">
      <sharedItems count="7">
        <s v="Fake Customer Care"/>
        <s v="Fake Job Offer"/>
        <s v="Impersonation"/>
        <s v="Investment Scam"/>
        <s v="OTP Fraud"/>
        <s v="Phishing"/>
        <s v="UPI Scam"/>
      </sharedItems>
    </cacheField>
  </cacheFields>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fieldsUsage count="2">
        <fieldUsage x="-1"/>
        <fieldUsage x="1"/>
      </fieldsUsage>
    </cacheHierarchy>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blScamData" uniqueName="[tblScamData]" caption="tblScamData"/>
  </dimensions>
  <measureGroups count="1">
    <measureGroup name="tblScamData" caption="tblScam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50098449074" backgroundQuery="1" createdVersion="3" refreshedVersion="8" minRefreshableVersion="3" recordCount="0" supportSubquery="1" supportAdvancedDrill="1" xr:uid="{7555E309-CC14-41B0-BD5C-238A69E481C5}">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2" memberValueDatatype="130" unbalanced="0"/>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2"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2"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59668325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316.501910763887" backgroundQuery="1" createdVersion="3" refreshedVersion="8" minRefreshableVersion="3" recordCount="0" supportSubquery="1" supportAdvancedDrill="1" xr:uid="{5E33E69A-252F-43E5-B488-AAF03BE167FE}">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blScamData].[Complaint_ID]" caption="Complaint_ID" attribute="1" defaultMemberUniqueName="[tblScamData].[Complaint_ID].[All]" allUniqueName="[tblScamData].[Complaint_ID].[All]" dimensionUniqueName="[tblScamData]" displayFolder="" count="0" memberValueDatatype="130" unbalanced="0"/>
    <cacheHierarchy uniqueName="[tblScamData].[Complaint_Date]" caption="Complaint_Date" attribute="1" time="1" defaultMemberUniqueName="[tblScamData].[Complaint_Date].[All]" allUniqueName="[tblScamData].[Complaint_Date].[All]" dimensionUniqueName="[tblScamData]" displayFolder="" count="2" memberValueDatatype="7" unbalanced="0"/>
    <cacheHierarchy uniqueName="[tblScamData].[Scam_Type]" caption="Scam_Type" attribute="1" defaultMemberUniqueName="[tblScamData].[Scam_Type].[All]" allUniqueName="[tblScamData].[Scam_Type].[All]" dimensionUniqueName="[tblScamData]" displayFolder="" count="0" memberValueDatatype="130" unbalanced="0"/>
    <cacheHierarchy uniqueName="[tblScamData].[Scam_Method]" caption="Scam_Method" attribute="1" defaultMemberUniqueName="[tblScamData].[Scam_Method].[All]" allUniqueName="[tblScamData].[Scam_Method].[All]" dimensionUniqueName="[tblScamData]" displayFolder="" count="0" memberValueDatatype="130" unbalanced="0"/>
    <cacheHierarchy uniqueName="[tblScamData].[Payment_Channel]" caption="Payment_Channel" attribute="1" defaultMemberUniqueName="[tblScamData].[Payment_Channel].[All]" allUniqueName="[tblScamData].[Payment_Channel].[All]" dimensionUniqueName="[tblScamData]" displayFolder="" count="0" memberValueDatatype="130" unbalanced="0"/>
    <cacheHierarchy uniqueName="[tblScamData].[Amount_Lost_INR]" caption="Amount_Lost_INR" attribute="1" defaultMemberUniqueName="[tblScamData].[Amount_Lost_INR].[All]" allUniqueName="[tblScamData].[Amount_Lost_INR].[All]" dimensionUniqueName="[tblScamData]" displayFolder="" count="0" memberValueDatatype="20" unbalanced="0"/>
    <cacheHierarchy uniqueName="[tblScamData].[Amount_Recovered_INR]" caption="Amount_Recovered_INR" attribute="1" defaultMemberUniqueName="[tblScamData].[Amount_Recovered_INR].[All]" allUniqueName="[tblScamData].[Amount_Recovered_INR].[All]" dimensionUniqueName="[tblScamData]" displayFolder="" count="0" memberValueDatatype="20" unbalanced="0"/>
    <cacheHierarchy uniqueName="[tblScamData].[Amount_On_Hold_INR]" caption="Amount_On_Hold_INR" attribute="1" defaultMemberUniqueName="[tblScamData].[Amount_On_Hold_INR].[All]" allUniqueName="[tblScamData].[Amount_On_Hold_INR].[All]" dimensionUniqueName="[tblScamData]" displayFolder="" count="0" memberValueDatatype="20" unbalanced="0"/>
    <cacheHierarchy uniqueName="[tblScamData].[State]" caption="State" attribute="1" defaultMemberUniqueName="[tblScamData].[State].[All]" allUniqueName="[tblScamData].[State].[All]" dimensionUniqueName="[tblScamData]" displayFolder="" count="0" memberValueDatatype="130" unbalanced="0"/>
    <cacheHierarchy uniqueName="[tblScamData].[Case_Status]" caption="Case_Status" attribute="1" defaultMemberUniqueName="[tblScamData].[Case_Status].[All]" allUniqueName="[tblScamData].[Case_Status].[All]" dimensionUniqueName="[tblScamData]" displayFolder="" count="0" memberValueDatatype="130" unbalanced="0"/>
    <cacheHierarchy uniqueName="[tblScamData].[Unrecovered_Amount_INR]" caption="Unrecovered_Amount_INR" attribute="1" defaultMemberUniqueName="[tblScamData].[Unrecovered_Amount_INR].[All]" allUniqueName="[tblScamData].[Unrecovered_Amount_INR].[All]" dimensionUniqueName="[tblScamData]" displayFolder="" count="0" memberValueDatatype="20" unbalanced="0"/>
    <cacheHierarchy uniqueName="[tblScamData].[Recovery_Rate]" caption="Recovery_Rate" attribute="1" defaultMemberUniqueName="[tblScamData].[Recovery_Rate].[All]" allUniqueName="[tblScamData].[Recovery_Rate].[All]" dimensionUniqueName="[tblScamData]" displayFolder="" count="0" memberValueDatatype="5" unbalanced="0"/>
    <cacheHierarchy uniqueName="[tblScamData].[Complaint_Date (Month)]" caption="Complaint_Date (Month)" attribute="1" defaultMemberUniqueName="[tblScamData].[Complaint_Date (Month)].[All]" allUniqueName="[tblScamData].[Complaint_Date (Month)].[All]" dimensionUniqueName="[tblScamData]" displayFolder="" count="0" memberValueDatatype="130" unbalanced="0"/>
    <cacheHierarchy uniqueName="[tblScamData].[Complaint_Date (Year)]" caption="Complaint_Date (Year)" attribute="1" defaultMemberUniqueName="[tblScamData].[Complaint_Date (Year)].[All]" allUniqueName="[tblScamData].[Complaint_Date (Year)].[All]" dimensionUniqueName="[tblScamData]" displayFolder="" count="0" memberValueDatatype="130" unbalanced="0"/>
    <cacheHierarchy uniqueName="[tblScamData].[Complaint_Date (Month Index)]" caption="Complaint_Date (Month Index)" attribute="1" defaultMemberUniqueName="[tblScamData].[Complaint_Date (Month Index)].[All]" allUniqueName="[tblScamData].[Complaint_Date (Month Index)].[All]" dimensionUniqueName="[tblScamData]" displayFolder="" count="0" memberValueDatatype="20" unbalanced="0" hidden="1"/>
    <cacheHierarchy uniqueName="[Measures].[__XL_Count tblScamData]" caption="__XL_Count tblScamData" measure="1" displayFolder="" measureGroup="tblScamData" count="0" hidden="1"/>
    <cacheHierarchy uniqueName="[Measures].[__No measures defined]" caption="__No measures defined" measure="1" displayFolder="" count="0" hidden="1"/>
    <cacheHierarchy uniqueName="[Measures].[Count of Complaint_ID]" caption="Count of Complaint_ID" measure="1" displayFolder="" measureGroup="tblScamData" count="0" hidden="1">
      <extLst>
        <ext xmlns:x15="http://schemas.microsoft.com/office/spreadsheetml/2010/11/main" uri="{B97F6D7D-B522-45F9-BDA1-12C45D357490}">
          <x15:cacheHierarchy aggregatedColumn="0"/>
        </ext>
      </extLst>
    </cacheHierarchy>
    <cacheHierarchy uniqueName="[Measures].[Sum of Amount_Lost_INR]" caption="Sum of Amount_Lost_INR" measure="1" displayFolder="" measureGroup="tblScamData" count="0" hidden="1">
      <extLst>
        <ext xmlns:x15="http://schemas.microsoft.com/office/spreadsheetml/2010/11/main" uri="{B97F6D7D-B522-45F9-BDA1-12C45D357490}">
          <x15:cacheHierarchy aggregatedColumn="5"/>
        </ext>
      </extLst>
    </cacheHierarchy>
    <cacheHierarchy uniqueName="[Measures].[Sum of Amount_Recovered_INR]" caption="Sum of Amount_Recovered_INR" measure="1" displayFolder="" measureGroup="tblScamData" count="0" hidden="1">
      <extLst>
        <ext xmlns:x15="http://schemas.microsoft.com/office/spreadsheetml/2010/11/main" uri="{B97F6D7D-B522-45F9-BDA1-12C45D357490}">
          <x15:cacheHierarchy aggregatedColumn="6"/>
        </ext>
      </extLst>
    </cacheHierarchy>
    <cacheHierarchy uniqueName="[Measures].[Sum of Unrecovered_Amount_INR]" caption="Sum of Unrecovered_Amount_INR" measure="1" displayFolder="" measureGroup="tblScam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8034507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CAA5A9-E297-421B-98CB-07D7B6DCDA60}" name="PivotTable7" cacheId="77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D53:E6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Complaint_ID" fld="0" subtotal="count" baseField="0" baseItem="0"/>
  </dataFields>
  <chartFormats count="9">
    <chartFormat chart="3"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2">
          <reference field="4294967294" count="1" selected="0">
            <x v="0"/>
          </reference>
          <reference field="1" count="1" selected="0">
            <x v="2"/>
          </reference>
        </references>
      </pivotArea>
    </chartFormat>
    <chartFormat chart="10" format="13">
      <pivotArea type="data" outline="0" fieldPosition="0">
        <references count="2">
          <reference field="4294967294" count="1" selected="0">
            <x v="0"/>
          </reference>
          <reference field="1" count="1" selected="0">
            <x v="3"/>
          </reference>
        </references>
      </pivotArea>
    </chartFormat>
    <chartFormat chart="10" format="14">
      <pivotArea type="data" outline="0" fieldPosition="0">
        <references count="2">
          <reference field="4294967294" count="1" selected="0">
            <x v="0"/>
          </reference>
          <reference field="1" count="1" selected="0">
            <x v="4"/>
          </reference>
        </references>
      </pivotArea>
    </chartFormat>
    <chartFormat chart="10" format="15">
      <pivotArea type="data" outline="0" fieldPosition="0">
        <references count="2">
          <reference field="4294967294" count="1" selected="0">
            <x v="0"/>
          </reference>
          <reference field="1" count="1" selected="0">
            <x v="5"/>
          </reference>
        </references>
      </pivotArea>
    </chartFormat>
    <chartFormat chart="10" format="16">
      <pivotArea type="data" outline="0" fieldPosition="0">
        <references count="2">
          <reference field="4294967294" count="1" selected="0">
            <x v="0"/>
          </reference>
          <reference field="1" count="1" selected="0">
            <x v="6"/>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E7B3E-7FBA-4DA4-8521-5DA29A83F2A8}" name="PivotTable6" cacheId="77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N32:O3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Amount_Recovered_INR" fld="0" baseField="0" baseItem="0"/>
    <dataField name="Sum of Unrecovered_Amount_INR" fld="1" baseField="0" baseItem="0"/>
  </dataField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1">
          <reference field="4294967294" count="1" selected="0">
            <x v="1"/>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5CA70-D304-46F1-A0E6-74D4C31542DB}" name="PivotTable5" cacheId="77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27:C32" firstHeaderRow="1" firstDataRow="1" firstDataCol="1"/>
  <pivotFields count="4">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1">
        <item x="0"/>
      </items>
    </pivotField>
  </pivotFields>
  <rowFields count="3">
    <field x="3"/>
    <field x="2"/>
    <field x="1"/>
  </rowFields>
  <rowItems count="5">
    <i>
      <x/>
    </i>
    <i r="1">
      <x/>
    </i>
    <i r="1">
      <x v="1"/>
    </i>
    <i r="1">
      <x v="2"/>
    </i>
    <i t="grand">
      <x/>
    </i>
  </rowItems>
  <colItems count="1">
    <i/>
  </colItems>
  <dataFields count="1">
    <dataField name="Monthly Cyber Fraud Complaints"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Monthly Cyber Fraud Complaints"/>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6316A5-E7F7-4500-80BF-C0E4FFEED49C}" name="PivotTable4" cacheId="77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B13:C2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Total Money Lost by Scam Type" fld="1" baseField="0" baseItem="0"/>
  </dataFields>
  <chartFormats count="9">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3"/>
          </reference>
        </references>
      </pivotArea>
    </chartFormat>
    <chartFormat chart="13" format="4">
      <pivotArea type="data" outline="0" fieldPosition="0">
        <references count="2">
          <reference field="4294967294" count="1" selected="0">
            <x v="0"/>
          </reference>
          <reference field="0" count="1" selected="0">
            <x v="4"/>
          </reference>
        </references>
      </pivotArea>
    </chartFormat>
    <chartFormat chart="13" format="5">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2">
          <reference field="4294967294" count="1" selected="0">
            <x v="0"/>
          </reference>
          <reference field="0" count="1" selected="0">
            <x v="6"/>
          </reference>
        </references>
      </pivotArea>
    </chartFormat>
    <chartFormat chart="13" format="8">
      <pivotArea type="data" outline="0" fieldPosition="0">
        <references count="2">
          <reference field="4294967294" count="1" selected="0">
            <x v="0"/>
          </reference>
          <reference field="0" count="1" selected="0">
            <x v="5"/>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Money Lost by Scam Typ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AF4A28-93A4-42DD-9619-B33E6843D074}" name="PivotTable3" cacheId="76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Sum of Amount_Recovered_INR" fld="0" baseField="0" baseItem="0"/>
  </dataField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81A931-A0ED-431C-9EE4-71547BD8870F}" name="PivotTable2" cacheId="76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6:B7" firstHeaderRow="1" firstDataRow="1" firstDataCol="0"/>
  <pivotFields count="1">
    <pivotField dataField="1" subtotalTop="0" showAll="0" defaultSubtotal="0"/>
  </pivotFields>
  <rowItems count="1">
    <i/>
  </rowItems>
  <colItems count="1">
    <i/>
  </colItems>
  <dataFields count="1">
    <dataField name="Sum of Amount_Lost_INR" fld="0" baseField="0" baseItem="0"/>
  </dataField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5144FC-8482-4724-8FBC-099299FC6289}" name="PivotTable1" cacheId="76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Complaint_ID" fld="0" subtotal="count" baseField="0" baseItem="0"/>
  </dataField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camScope_Raw_Data.xlsx!tblScamData">
        <x15:activeTabTopLevelEntity name="[tblScam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am_Type" xr10:uid="{67E5867E-231C-4394-BE75-14FC6978C274}" sourceName="[tblScamData].[Scam_Type]">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596683258">
      <levels count="2">
        <level uniqueName="[tblScamData].[Scam_Type].[(All)]" sourceCaption="(All)" count="0"/>
        <level uniqueName="[tblScamData].[Scam_Type].[Scam_Type]" sourceCaption="Scam_Type" count="7">
          <ranges>
            <range startItem="0">
              <i n="[tblScamData].[Scam_Type].&amp;[Fake Customer Care]" c="Fake Customer Care"/>
              <i n="[tblScamData].[Scam_Type].&amp;[Fake Job Offer]" c="Fake Job Offer"/>
              <i n="[tblScamData].[Scam_Type].&amp;[Impersonation]" c="Impersonation"/>
              <i n="[tblScamData].[Scam_Type].&amp;[Investment Scam]" c="Investment Scam"/>
              <i n="[tblScamData].[Scam_Type].&amp;[OTP Fraud]" c="OTP Fraud"/>
              <i n="[tblScamData].[Scam_Type].&amp;[Phishing]" c="Phishing"/>
              <i n="[tblScamData].[Scam_Type].&amp;[UPI Scam]" c="UPI Scam"/>
            </range>
          </ranges>
        </level>
      </levels>
      <selections count="1">
        <selection n="[tblScamData].[Scam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Channel" xr10:uid="{CC751F3C-02EA-4B04-BFC9-A553EBC925F2}" sourceName="[tblScamData].[Payment_Channel]">
  <pivotTables>
    <pivotTable tabId="4" name="PivotTable3"/>
    <pivotTable tabId="4" name="PivotTable1"/>
    <pivotTable tabId="4" name="PivotTable2"/>
    <pivotTable tabId="4" name="PivotTable4"/>
    <pivotTable tabId="4" name="PivotTable5"/>
    <pivotTable tabId="4" name="PivotTable6"/>
    <pivotTable tabId="4" name="PivotTable7"/>
  </pivotTables>
  <data>
    <olap pivotCacheId="596683258">
      <levels count="2">
        <level uniqueName="[tblScamData].[Payment_Channel].[(All)]" sourceCaption="(All)" count="0"/>
        <level uniqueName="[tblScamData].[Payment_Channel].[Payment_Channel]" sourceCaption="Payment_Channel" count="4">
          <ranges>
            <range startItem="0">
              <i n="[tblScamData].[Payment_Channel].&amp;[Bank Transfer]" c="Bank Transfer"/>
              <i n="[tblScamData].[Payment_Channel].&amp;[Card]" c="Card"/>
              <i n="[tblScamData].[Payment_Channel].&amp;[Net Banking]" c="Net Banking"/>
              <i n="[tblScamData].[Payment_Channel].&amp;[UPI]" c="UPI"/>
            </range>
          </ranges>
        </level>
      </levels>
      <selections count="1">
        <selection n="[tblScamData].[Payment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E0403D-5A7B-484D-8C23-D47F9518BD75}" sourceName="[tblScamData].[State]">
  <pivotTables>
    <pivotTable tabId="4" name="PivotTable3"/>
    <pivotTable tabId="4" name="PivotTable1"/>
    <pivotTable tabId="4" name="PivotTable2"/>
    <pivotTable tabId="4" name="PivotTable4"/>
    <pivotTable tabId="4" name="PivotTable5"/>
    <pivotTable tabId="4" name="PivotTable6"/>
    <pivotTable tabId="4" name="PivotTable7"/>
  </pivotTables>
  <data>
    <olap pivotCacheId="596683258">
      <levels count="2">
        <level uniqueName="[tblScamData].[State].[(All)]" sourceCaption="(All)" count="0"/>
        <level uniqueName="[tblScamData].[State].[State]" sourceCaption="State" count="15">
          <ranges>
            <range startItem="0">
              <i n="[tblScamData].[State].&amp;[Andhra Pradesh]" c="Andhra Pradesh"/>
              <i n="[tblScamData].[State].&amp;[Delhi]" c="Delhi"/>
              <i n="[tblScamData].[State].&amp;[Gujarat]" c="Gujarat"/>
              <i n="[tblScamData].[State].&amp;[Haryana]" c="Haryana"/>
              <i n="[tblScamData].[State].&amp;[Karnataka]" c="Karnataka"/>
              <i n="[tblScamData].[State].&amp;[Kerala]" c="Kerala"/>
              <i n="[tblScamData].[State].&amp;[Madhya Pradesh]" c="Madhya Pradesh"/>
              <i n="[tblScamData].[State].&amp;[Maharashtra]" c="Maharashtra"/>
              <i n="[tblScamData].[State].&amp;[Odisha]" c="Odisha"/>
              <i n="[tblScamData].[State].&amp;[Punjab]" c="Punjab"/>
              <i n="[tblScamData].[State].&amp;[Rajasthan]" c="Rajasthan"/>
              <i n="[tblScamData].[State].&amp;[Tamil Nadu]" c="Tamil Nadu"/>
              <i n="[tblScamData].[State].&amp;[Telangana]" c="Telangana"/>
              <i n="[tblScamData].[State].&amp;[Uttar Pradesh]" c="Uttar Pradesh"/>
              <i n="[tblScamData].[State].&amp;[West Bengal]" c="West Bengal"/>
            </range>
          </ranges>
        </level>
      </levels>
      <selections count="1">
        <selection n="[tblScam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am_Type" xr10:uid="{A9DC58AB-B84C-48BA-B81D-E2DA1466E9FA}" cache="Slicer_Scam_Type" caption="Scam_Type" level="1" rowHeight="234950"/>
  <slicer name="Payment_Channel" xr10:uid="{8D392D49-5CA6-4D5F-9C09-102419669383}" cache="Slicer_Payment_Channel" caption="Payment_Channel" level="1" rowHeight="234950"/>
  <slicer name="State" xr10:uid="{1EC6A06C-47EC-4EE7-8E88-6EB20E6CA687}" cache="Slicer_State" caption="St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am_Type 1" xr10:uid="{7093F4D4-882C-411E-B88B-9548E693BBDA}" cache="Slicer_Scam_Type" caption="Scam_Type" level="1" style="Slicer Style 7" rowHeight="234950"/>
  <slicer name="Payment_Channel 1" xr10:uid="{983D4F25-8311-466D-9910-6235363F4216}" cache="Slicer_Payment_Channel" caption="Payment_Channel" level="1" style="Slicer Style 7" rowHeight="234950"/>
  <slicer name="State 1" xr10:uid="{FE8FCE1D-2A82-45C0-8319-CC39F992584C}" cache="Slicer_State" caption="State" startItem="6" columnCount="2" level="1"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1AAAC-5A1C-405A-835D-4E7949D8A2B7}" name="tblScamData" displayName="tblScamData" ref="A1:L21" totalsRowShown="0">
  <autoFilter ref="A1:L21" xr:uid="{ED01AAAC-5A1C-405A-835D-4E7949D8A2B7}"/>
  <tableColumns count="12">
    <tableColumn id="1" xr3:uid="{6051EEB6-C0F5-43B5-A234-8CE47CEAFEF9}" name="Complaint_ID"/>
    <tableColumn id="2" xr3:uid="{685FCA23-C904-4793-98B0-6C4D82D5C93C}" name="Complaint_Date" dataDxfId="22"/>
    <tableColumn id="3" xr3:uid="{A31B060B-7C58-4C60-AE55-E648E2CE379E}" name="Scam_Type"/>
    <tableColumn id="4" xr3:uid="{D550757B-0D60-4B13-8D41-A06BFCCCBF4D}" name="Scam_Method"/>
    <tableColumn id="5" xr3:uid="{519FC2B5-39E7-42D6-9AFE-3C6B7E5F9B87}" name="Payment_Channel"/>
    <tableColumn id="6" xr3:uid="{01605A0B-580E-4FFD-BE63-29F41B9F8669}" name="Amount_Lost_INR" dataDxfId="21"/>
    <tableColumn id="7" xr3:uid="{687432FA-D9BE-4BC1-A854-E5FF3A01F48B}" name="Amount_Recovered_INR" dataDxfId="20"/>
    <tableColumn id="8" xr3:uid="{3723A6D3-F805-40BE-865E-54233A8DA145}" name="Amount_On_Hold_INR" dataDxfId="19"/>
    <tableColumn id="9" xr3:uid="{C75D892C-0D12-4C9E-8E88-5EDCD047F716}" name="State"/>
    <tableColumn id="10" xr3:uid="{CED4325D-B900-4378-997E-A73E708882B3}" name="Case_Status"/>
    <tableColumn id="11" xr3:uid="{773F6421-BC46-49EA-BD91-E08C3D3C2314}" name="Unrecovered_Amount_INR" dataDxfId="18">
      <calculatedColumnFormula>F2-G2</calculatedColumnFormula>
    </tableColumn>
    <tableColumn id="12" xr3:uid="{77B563FE-4C18-4FC7-8DA5-A4EF544F5E44}" name="Recovery_Rate" dataDxfId="17">
      <calculatedColumnFormula>IFERROR(G2/F2,0)</calculatedColumnFormula>
    </tableColumn>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omplaint_Date" xr10:uid="{AC76D7C5-0C5D-4361-9DA5-8C357704736E}" sourceName="[tblScamData].[Complaint_Date]">
  <pivotTables>
    <pivotTable tabId="4" name="PivotTable3"/>
    <pivotTable tabId="4" name="PivotTable1"/>
    <pivotTable tabId="4" name="PivotTable2"/>
    <pivotTable tabId="4" name="PivotTable4"/>
    <pivotTable tabId="4" name="PivotTable5"/>
    <pivotTable tabId="4" name="PivotTable6"/>
    <pivotTable tabId="4" name="PivotTable7"/>
  </pivotTables>
  <state minimalRefreshVersion="6" lastRefreshVersion="6" pivotCacheId="80345076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mplaint_Date" xr10:uid="{69FE3C74-E9DC-46D9-A8E1-F6125EA85BA4}" cache="Timeline_Complaint_Date" caption="Complaint_Date" level="2" selectionLevel="2" scrollPosition="2026-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mplaint_Date 1" xr10:uid="{AA7A4222-6BB6-4F33-973E-9CFE9FB8F63A}" cache="Timeline_Complaint_Date" caption="Complaint_Date" level="2" selectionLevel="2" scrollPosition="2026-01-01T00:00:00" style="Timeline Style 3"/>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074B31-BE19-4F4F-A353-09C8718ABBF0}">
  <we:reference id="f290534f-e9f4-4923-b56a-700bd4cca91a" version="4.3.0.0" store="EXCatalog" storeType="EXCatalog"/>
  <we:alternateReferences>
    <we:reference id="WA200003350" version="4.3.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workbookViewId="0">
      <selection activeCell="B29" sqref="B29"/>
    </sheetView>
  </sheetViews>
  <sheetFormatPr defaultRowHeight="14.4" x14ac:dyDescent="0.3"/>
  <cols>
    <col min="1" max="1" width="14.5546875" customWidth="1"/>
    <col min="2" max="2" width="23.44140625" customWidth="1"/>
    <col min="3" max="3" width="23.88671875" customWidth="1"/>
    <col min="4" max="4" width="29.5546875" customWidth="1"/>
    <col min="5" max="5" width="18.6640625" customWidth="1"/>
    <col min="6" max="6" width="18.33203125" customWidth="1"/>
    <col min="7" max="7" width="24" customWidth="1"/>
    <col min="8" max="8" width="22.33203125" customWidth="1"/>
    <col min="9" max="9" width="20.33203125" customWidth="1"/>
    <col min="10" max="10" width="16.6640625" customWidth="1"/>
    <col min="11" max="11" width="26.109375" customWidth="1"/>
    <col min="12" max="12" width="15.6640625" customWidth="1"/>
  </cols>
  <sheetData>
    <row r="1" spans="1:12" x14ac:dyDescent="0.3">
      <c r="A1" t="s">
        <v>0</v>
      </c>
      <c r="B1" s="1" t="s">
        <v>1</v>
      </c>
      <c r="C1" t="s">
        <v>2</v>
      </c>
      <c r="D1" t="s">
        <v>3</v>
      </c>
      <c r="E1" t="s">
        <v>4</v>
      </c>
      <c r="F1" s="2" t="s">
        <v>5</v>
      </c>
      <c r="G1" s="2" t="s">
        <v>6</v>
      </c>
      <c r="H1" s="2" t="s">
        <v>7</v>
      </c>
      <c r="I1" t="s">
        <v>8</v>
      </c>
      <c r="J1" t="s">
        <v>9</v>
      </c>
      <c r="K1" t="s">
        <v>80</v>
      </c>
      <c r="L1" t="s">
        <v>81</v>
      </c>
    </row>
    <row r="2" spans="1:12" x14ac:dyDescent="0.3">
      <c r="A2" t="s">
        <v>10</v>
      </c>
      <c r="B2" s="1">
        <v>46026</v>
      </c>
      <c r="C2" t="s">
        <v>11</v>
      </c>
      <c r="D2" t="s">
        <v>12</v>
      </c>
      <c r="E2" t="s">
        <v>13</v>
      </c>
      <c r="F2" s="2">
        <v>8500</v>
      </c>
      <c r="G2" s="2">
        <v>0</v>
      </c>
      <c r="H2" s="2">
        <v>0</v>
      </c>
      <c r="I2" t="s">
        <v>14</v>
      </c>
      <c r="J2" t="s">
        <v>15</v>
      </c>
      <c r="K2" s="2">
        <f>F2-G2</f>
        <v>8500</v>
      </c>
      <c r="L2" s="3">
        <f>IFERROR(G2/F2,0)</f>
        <v>0</v>
      </c>
    </row>
    <row r="3" spans="1:12" x14ac:dyDescent="0.3">
      <c r="A3" t="s">
        <v>16</v>
      </c>
      <c r="B3" s="1">
        <v>46028</v>
      </c>
      <c r="C3" t="s">
        <v>17</v>
      </c>
      <c r="D3" t="s">
        <v>18</v>
      </c>
      <c r="E3" t="s">
        <v>19</v>
      </c>
      <c r="F3" s="2">
        <v>12500</v>
      </c>
      <c r="G3" s="2">
        <v>2500</v>
      </c>
      <c r="H3" s="2">
        <v>0</v>
      </c>
      <c r="I3" t="s">
        <v>20</v>
      </c>
      <c r="J3" t="s">
        <v>21</v>
      </c>
      <c r="K3" s="2">
        <f t="shared" ref="K3:K21" si="0">F3-G3</f>
        <v>10000</v>
      </c>
      <c r="L3" s="3">
        <f t="shared" ref="L3:L21" si="1">IFERROR(G3/F3,0)</f>
        <v>0.2</v>
      </c>
    </row>
    <row r="4" spans="1:12" x14ac:dyDescent="0.3">
      <c r="A4" t="s">
        <v>22</v>
      </c>
      <c r="B4" s="1">
        <v>46031</v>
      </c>
      <c r="C4" t="s">
        <v>23</v>
      </c>
      <c r="D4" t="s">
        <v>24</v>
      </c>
      <c r="E4" t="s">
        <v>13</v>
      </c>
      <c r="F4" s="2">
        <v>4200</v>
      </c>
      <c r="G4" s="2">
        <v>0</v>
      </c>
      <c r="H4" s="2">
        <v>0</v>
      </c>
      <c r="I4" t="s">
        <v>25</v>
      </c>
      <c r="J4" t="s">
        <v>15</v>
      </c>
      <c r="K4" s="2">
        <f t="shared" si="0"/>
        <v>4200</v>
      </c>
      <c r="L4" s="3">
        <f t="shared" si="1"/>
        <v>0</v>
      </c>
    </row>
    <row r="5" spans="1:12" x14ac:dyDescent="0.3">
      <c r="A5" t="s">
        <v>26</v>
      </c>
      <c r="B5" s="1">
        <v>46033</v>
      </c>
      <c r="C5" t="s">
        <v>27</v>
      </c>
      <c r="D5" t="s">
        <v>28</v>
      </c>
      <c r="E5" t="s">
        <v>29</v>
      </c>
      <c r="F5" s="2">
        <v>75000</v>
      </c>
      <c r="G5" s="2">
        <v>10000</v>
      </c>
      <c r="H5" s="2">
        <v>15000</v>
      </c>
      <c r="I5" t="s">
        <v>30</v>
      </c>
      <c r="J5" t="s">
        <v>31</v>
      </c>
      <c r="K5" s="2">
        <f t="shared" si="0"/>
        <v>65000</v>
      </c>
      <c r="L5" s="3">
        <f t="shared" si="1"/>
        <v>0.13333333333333333</v>
      </c>
    </row>
    <row r="6" spans="1:12" x14ac:dyDescent="0.3">
      <c r="A6" t="s">
        <v>32</v>
      </c>
      <c r="B6" s="1">
        <v>46036</v>
      </c>
      <c r="C6" t="s">
        <v>33</v>
      </c>
      <c r="D6" t="s">
        <v>34</v>
      </c>
      <c r="E6" t="s">
        <v>35</v>
      </c>
      <c r="F6" s="2">
        <v>18000</v>
      </c>
      <c r="G6" s="2">
        <v>5000</v>
      </c>
      <c r="H6" s="2">
        <v>0</v>
      </c>
      <c r="I6" t="s">
        <v>36</v>
      </c>
      <c r="J6" t="s">
        <v>21</v>
      </c>
      <c r="K6" s="2">
        <f t="shared" si="0"/>
        <v>13000</v>
      </c>
      <c r="L6" s="3">
        <f t="shared" si="1"/>
        <v>0.27777777777777779</v>
      </c>
    </row>
    <row r="7" spans="1:12" x14ac:dyDescent="0.3">
      <c r="A7" t="s">
        <v>37</v>
      </c>
      <c r="B7" s="1">
        <v>46040</v>
      </c>
      <c r="C7" t="s">
        <v>38</v>
      </c>
      <c r="D7" t="s">
        <v>39</v>
      </c>
      <c r="E7" t="s">
        <v>13</v>
      </c>
      <c r="F7" s="2">
        <v>3200</v>
      </c>
      <c r="G7" s="2">
        <v>0</v>
      </c>
      <c r="H7" s="2">
        <v>0</v>
      </c>
      <c r="I7" t="s">
        <v>40</v>
      </c>
      <c r="J7" t="s">
        <v>15</v>
      </c>
      <c r="K7" s="2">
        <f t="shared" si="0"/>
        <v>3200</v>
      </c>
      <c r="L7" s="3">
        <f t="shared" si="1"/>
        <v>0</v>
      </c>
    </row>
    <row r="8" spans="1:12" x14ac:dyDescent="0.3">
      <c r="A8" t="s">
        <v>41</v>
      </c>
      <c r="B8" s="1">
        <v>46043</v>
      </c>
      <c r="C8" t="s">
        <v>42</v>
      </c>
      <c r="D8" t="s">
        <v>43</v>
      </c>
      <c r="E8" t="s">
        <v>13</v>
      </c>
      <c r="F8" s="2">
        <v>22000</v>
      </c>
      <c r="G8" s="2">
        <v>2000</v>
      </c>
      <c r="H8" s="2">
        <v>0</v>
      </c>
      <c r="I8" t="s">
        <v>44</v>
      </c>
      <c r="J8" t="s">
        <v>21</v>
      </c>
      <c r="K8" s="2">
        <f t="shared" si="0"/>
        <v>20000</v>
      </c>
      <c r="L8" s="3">
        <f t="shared" si="1"/>
        <v>9.0909090909090912E-2</v>
      </c>
    </row>
    <row r="9" spans="1:12" x14ac:dyDescent="0.3">
      <c r="A9" t="s">
        <v>45</v>
      </c>
      <c r="B9" s="1">
        <v>46047</v>
      </c>
      <c r="C9" t="s">
        <v>17</v>
      </c>
      <c r="D9" t="s">
        <v>46</v>
      </c>
      <c r="E9" t="s">
        <v>35</v>
      </c>
      <c r="F9" s="2">
        <v>6400</v>
      </c>
      <c r="G9" s="2">
        <v>6400</v>
      </c>
      <c r="H9" s="2">
        <v>0</v>
      </c>
      <c r="I9" t="s">
        <v>47</v>
      </c>
      <c r="J9" t="s">
        <v>48</v>
      </c>
      <c r="K9" s="2">
        <f t="shared" si="0"/>
        <v>0</v>
      </c>
      <c r="L9" s="3">
        <f t="shared" si="1"/>
        <v>1</v>
      </c>
    </row>
    <row r="10" spans="1:12" x14ac:dyDescent="0.3">
      <c r="A10" t="s">
        <v>49</v>
      </c>
      <c r="B10" s="1">
        <v>46051</v>
      </c>
      <c r="C10" t="s">
        <v>11</v>
      </c>
      <c r="D10" t="s">
        <v>50</v>
      </c>
      <c r="E10" t="s">
        <v>13</v>
      </c>
      <c r="F10" s="2">
        <v>5600</v>
      </c>
      <c r="G10" s="2">
        <v>0</v>
      </c>
      <c r="H10" s="2">
        <v>0</v>
      </c>
      <c r="I10" t="s">
        <v>51</v>
      </c>
      <c r="J10" t="s">
        <v>15</v>
      </c>
      <c r="K10" s="2">
        <f t="shared" si="0"/>
        <v>5600</v>
      </c>
      <c r="L10" s="3">
        <f t="shared" si="1"/>
        <v>0</v>
      </c>
    </row>
    <row r="11" spans="1:12" x14ac:dyDescent="0.3">
      <c r="A11" t="s">
        <v>52</v>
      </c>
      <c r="B11" s="1">
        <v>46055</v>
      </c>
      <c r="C11" t="s">
        <v>27</v>
      </c>
      <c r="D11" t="s">
        <v>53</v>
      </c>
      <c r="E11" t="s">
        <v>29</v>
      </c>
      <c r="F11" s="2">
        <v>120000</v>
      </c>
      <c r="G11" s="2">
        <v>20000</v>
      </c>
      <c r="H11" s="2">
        <v>30000</v>
      </c>
      <c r="I11" t="s">
        <v>14</v>
      </c>
      <c r="J11" t="s">
        <v>31</v>
      </c>
      <c r="K11" s="2">
        <f t="shared" si="0"/>
        <v>100000</v>
      </c>
      <c r="L11" s="3">
        <f t="shared" si="1"/>
        <v>0.16666666666666666</v>
      </c>
    </row>
    <row r="12" spans="1:12" x14ac:dyDescent="0.3">
      <c r="A12" t="s">
        <v>54</v>
      </c>
      <c r="B12" s="1">
        <v>46058</v>
      </c>
      <c r="C12" t="s">
        <v>23</v>
      </c>
      <c r="D12" t="s">
        <v>55</v>
      </c>
      <c r="E12" t="s">
        <v>13</v>
      </c>
      <c r="F12" s="2">
        <v>9800</v>
      </c>
      <c r="G12" s="2">
        <v>0</v>
      </c>
      <c r="H12" s="2">
        <v>0</v>
      </c>
      <c r="I12" t="s">
        <v>20</v>
      </c>
      <c r="J12" t="s">
        <v>15</v>
      </c>
      <c r="K12" s="2">
        <f t="shared" si="0"/>
        <v>9800</v>
      </c>
      <c r="L12" s="3">
        <f t="shared" si="1"/>
        <v>0</v>
      </c>
    </row>
    <row r="13" spans="1:12" x14ac:dyDescent="0.3">
      <c r="A13" t="s">
        <v>56</v>
      </c>
      <c r="B13" s="1">
        <v>46061</v>
      </c>
      <c r="C13" t="s">
        <v>33</v>
      </c>
      <c r="D13" t="s">
        <v>57</v>
      </c>
      <c r="E13" t="s">
        <v>19</v>
      </c>
      <c r="F13" s="2">
        <v>27500</v>
      </c>
      <c r="G13" s="2">
        <v>7500</v>
      </c>
      <c r="H13" s="2">
        <v>0</v>
      </c>
      <c r="I13" t="s">
        <v>58</v>
      </c>
      <c r="J13" t="s">
        <v>21</v>
      </c>
      <c r="K13" s="2">
        <f t="shared" si="0"/>
        <v>20000</v>
      </c>
      <c r="L13" s="3">
        <f t="shared" si="1"/>
        <v>0.27272727272727271</v>
      </c>
    </row>
    <row r="14" spans="1:12" x14ac:dyDescent="0.3">
      <c r="A14" t="s">
        <v>59</v>
      </c>
      <c r="B14" s="1">
        <v>46065</v>
      </c>
      <c r="C14" t="s">
        <v>38</v>
      </c>
      <c r="D14" t="s">
        <v>60</v>
      </c>
      <c r="E14" t="s">
        <v>13</v>
      </c>
      <c r="F14" s="2">
        <v>7100</v>
      </c>
      <c r="G14" s="2">
        <v>0</v>
      </c>
      <c r="H14" s="2">
        <v>0</v>
      </c>
      <c r="I14" t="s">
        <v>61</v>
      </c>
      <c r="J14" t="s">
        <v>15</v>
      </c>
      <c r="K14" s="2">
        <f t="shared" si="0"/>
        <v>7100</v>
      </c>
      <c r="L14" s="3">
        <f t="shared" si="1"/>
        <v>0</v>
      </c>
    </row>
    <row r="15" spans="1:12" x14ac:dyDescent="0.3">
      <c r="A15" t="s">
        <v>62</v>
      </c>
      <c r="B15" s="1">
        <v>46068</v>
      </c>
      <c r="C15" t="s">
        <v>17</v>
      </c>
      <c r="D15" t="s">
        <v>63</v>
      </c>
      <c r="E15" t="s">
        <v>19</v>
      </c>
      <c r="F15" s="2">
        <v>15600</v>
      </c>
      <c r="G15" s="2">
        <v>5600</v>
      </c>
      <c r="H15" s="2">
        <v>0</v>
      </c>
      <c r="I15" t="s">
        <v>25</v>
      </c>
      <c r="J15" t="s">
        <v>21</v>
      </c>
      <c r="K15" s="2">
        <f t="shared" si="0"/>
        <v>10000</v>
      </c>
      <c r="L15" s="3">
        <f t="shared" si="1"/>
        <v>0.35897435897435898</v>
      </c>
    </row>
    <row r="16" spans="1:12" x14ac:dyDescent="0.3">
      <c r="A16" t="s">
        <v>64</v>
      </c>
      <c r="B16" s="1">
        <v>46072</v>
      </c>
      <c r="C16" t="s">
        <v>11</v>
      </c>
      <c r="D16" t="s">
        <v>65</v>
      </c>
      <c r="E16" t="s">
        <v>13</v>
      </c>
      <c r="F16" s="2">
        <v>2400</v>
      </c>
      <c r="G16" s="2">
        <v>0</v>
      </c>
      <c r="H16" s="2">
        <v>0</v>
      </c>
      <c r="I16" t="s">
        <v>66</v>
      </c>
      <c r="J16" t="s">
        <v>15</v>
      </c>
      <c r="K16" s="2">
        <f t="shared" si="0"/>
        <v>2400</v>
      </c>
      <c r="L16" s="3">
        <f t="shared" si="1"/>
        <v>0</v>
      </c>
    </row>
    <row r="17" spans="1:12" x14ac:dyDescent="0.3">
      <c r="A17" t="s">
        <v>67</v>
      </c>
      <c r="B17" s="1">
        <v>46076</v>
      </c>
      <c r="C17" t="s">
        <v>27</v>
      </c>
      <c r="D17" t="s">
        <v>68</v>
      </c>
      <c r="E17" t="s">
        <v>29</v>
      </c>
      <c r="F17" s="2">
        <v>95000</v>
      </c>
      <c r="G17" s="2">
        <v>15000</v>
      </c>
      <c r="H17" s="2">
        <v>25000</v>
      </c>
      <c r="I17" t="s">
        <v>30</v>
      </c>
      <c r="J17" t="s">
        <v>31</v>
      </c>
      <c r="K17" s="2">
        <f t="shared" si="0"/>
        <v>80000</v>
      </c>
      <c r="L17" s="3">
        <f t="shared" si="1"/>
        <v>0.15789473684210525</v>
      </c>
    </row>
    <row r="18" spans="1:12" x14ac:dyDescent="0.3">
      <c r="A18" t="s">
        <v>69</v>
      </c>
      <c r="B18" s="1">
        <v>46079</v>
      </c>
      <c r="C18" t="s">
        <v>23</v>
      </c>
      <c r="D18" t="s">
        <v>70</v>
      </c>
      <c r="E18" t="s">
        <v>35</v>
      </c>
      <c r="F18" s="2">
        <v>34000</v>
      </c>
      <c r="G18" s="2">
        <v>4000</v>
      </c>
      <c r="H18" s="2">
        <v>0</v>
      </c>
      <c r="I18" t="s">
        <v>71</v>
      </c>
      <c r="J18" t="s">
        <v>21</v>
      </c>
      <c r="K18" s="2">
        <f t="shared" si="0"/>
        <v>30000</v>
      </c>
      <c r="L18" s="3">
        <f t="shared" si="1"/>
        <v>0.11764705882352941</v>
      </c>
    </row>
    <row r="19" spans="1:12" x14ac:dyDescent="0.3">
      <c r="A19" t="s">
        <v>72</v>
      </c>
      <c r="B19" s="1">
        <v>46082</v>
      </c>
      <c r="C19" t="s">
        <v>33</v>
      </c>
      <c r="D19" t="s">
        <v>73</v>
      </c>
      <c r="E19" t="s">
        <v>13</v>
      </c>
      <c r="F19" s="2">
        <v>11200</v>
      </c>
      <c r="G19" s="2">
        <v>0</v>
      </c>
      <c r="H19" s="2">
        <v>0</v>
      </c>
      <c r="I19" t="s">
        <v>20</v>
      </c>
      <c r="J19" t="s">
        <v>15</v>
      </c>
      <c r="K19" s="2">
        <f t="shared" si="0"/>
        <v>11200</v>
      </c>
      <c r="L19" s="3">
        <f t="shared" si="1"/>
        <v>0</v>
      </c>
    </row>
    <row r="20" spans="1:12" x14ac:dyDescent="0.3">
      <c r="A20" t="s">
        <v>74</v>
      </c>
      <c r="B20" s="1">
        <v>46086</v>
      </c>
      <c r="C20" t="s">
        <v>38</v>
      </c>
      <c r="D20" t="s">
        <v>75</v>
      </c>
      <c r="E20" t="s">
        <v>13</v>
      </c>
      <c r="F20" s="2">
        <v>4500</v>
      </c>
      <c r="G20" s="2">
        <v>1500</v>
      </c>
      <c r="H20" s="2">
        <v>0</v>
      </c>
      <c r="I20" t="s">
        <v>76</v>
      </c>
      <c r="J20" t="s">
        <v>21</v>
      </c>
      <c r="K20" s="2">
        <f t="shared" si="0"/>
        <v>3000</v>
      </c>
      <c r="L20" s="3">
        <f t="shared" si="1"/>
        <v>0.33333333333333331</v>
      </c>
    </row>
    <row r="21" spans="1:12" x14ac:dyDescent="0.3">
      <c r="A21" t="s">
        <v>77</v>
      </c>
      <c r="B21" s="1">
        <v>46089</v>
      </c>
      <c r="C21" t="s">
        <v>17</v>
      </c>
      <c r="D21" t="s">
        <v>78</v>
      </c>
      <c r="E21" t="s">
        <v>35</v>
      </c>
      <c r="F21" s="2">
        <v>8900</v>
      </c>
      <c r="G21" s="2">
        <v>8900</v>
      </c>
      <c r="H21" s="2">
        <v>0</v>
      </c>
      <c r="I21" t="s">
        <v>79</v>
      </c>
      <c r="J21" t="s">
        <v>48</v>
      </c>
      <c r="K21" s="2">
        <f t="shared" si="0"/>
        <v>0</v>
      </c>
      <c r="L21" s="3">
        <f t="shared" si="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3AFD-C0D6-4675-B072-D48893644A29}">
  <dimension ref="A3:O61"/>
  <sheetViews>
    <sheetView workbookViewId="0">
      <selection activeCell="P22" sqref="P22"/>
    </sheetView>
  </sheetViews>
  <sheetFormatPr defaultRowHeight="14.4" x14ac:dyDescent="0.3"/>
  <cols>
    <col min="1" max="1" width="20.77734375" bestFit="1" customWidth="1"/>
    <col min="2" max="2" width="12.77734375" bestFit="1" customWidth="1"/>
    <col min="3" max="3" width="29.88671875" bestFit="1" customWidth="1"/>
    <col min="4" max="4" width="18.33203125" bestFit="1" customWidth="1"/>
    <col min="5" max="5" width="20.77734375" bestFit="1" customWidth="1"/>
    <col min="14" max="14" width="29.109375" bestFit="1" customWidth="1"/>
    <col min="15" max="15" width="31.21875" bestFit="1" customWidth="1"/>
  </cols>
  <sheetData>
    <row r="3" spans="1:6" x14ac:dyDescent="0.3">
      <c r="A3" t="s">
        <v>82</v>
      </c>
    </row>
    <row r="4" spans="1:6" x14ac:dyDescent="0.3">
      <c r="A4" s="4">
        <v>20</v>
      </c>
    </row>
    <row r="6" spans="1:6" x14ac:dyDescent="0.3">
      <c r="B6" t="s">
        <v>83</v>
      </c>
    </row>
    <row r="7" spans="1:6" x14ac:dyDescent="0.3">
      <c r="B7" s="4">
        <v>491400</v>
      </c>
      <c r="D7" t="s">
        <v>84</v>
      </c>
      <c r="F7" s="3">
        <f>IFERROR(D8/B7,0)</f>
        <v>0.17989417989417988</v>
      </c>
    </row>
    <row r="8" spans="1:6" x14ac:dyDescent="0.3">
      <c r="D8" s="4">
        <v>88400</v>
      </c>
    </row>
    <row r="13" spans="1:6" x14ac:dyDescent="0.3">
      <c r="B13" s="5" t="s">
        <v>85</v>
      </c>
      <c r="C13" t="s">
        <v>87</v>
      </c>
    </row>
    <row r="14" spans="1:6" x14ac:dyDescent="0.3">
      <c r="B14" s="6" t="s">
        <v>23</v>
      </c>
      <c r="C14" s="4">
        <v>48000</v>
      </c>
    </row>
    <row r="15" spans="1:6" x14ac:dyDescent="0.3">
      <c r="B15" s="6" t="s">
        <v>38</v>
      </c>
      <c r="C15" s="4">
        <v>14800</v>
      </c>
    </row>
    <row r="16" spans="1:6" x14ac:dyDescent="0.3">
      <c r="B16" s="6" t="s">
        <v>42</v>
      </c>
      <c r="C16" s="4">
        <v>22000</v>
      </c>
    </row>
    <row r="17" spans="2:15" x14ac:dyDescent="0.3">
      <c r="B17" s="6" t="s">
        <v>27</v>
      </c>
      <c r="C17" s="4">
        <v>290000</v>
      </c>
    </row>
    <row r="18" spans="2:15" x14ac:dyDescent="0.3">
      <c r="B18" s="6" t="s">
        <v>33</v>
      </c>
      <c r="C18" s="4">
        <v>56700</v>
      </c>
    </row>
    <row r="19" spans="2:15" x14ac:dyDescent="0.3">
      <c r="B19" s="6" t="s">
        <v>17</v>
      </c>
      <c r="C19" s="4">
        <v>43400</v>
      </c>
    </row>
    <row r="20" spans="2:15" x14ac:dyDescent="0.3">
      <c r="B20" s="6" t="s">
        <v>11</v>
      </c>
      <c r="C20" s="4">
        <v>16500</v>
      </c>
    </row>
    <row r="21" spans="2:15" x14ac:dyDescent="0.3">
      <c r="B21" s="6" t="s">
        <v>86</v>
      </c>
      <c r="C21" s="4">
        <v>491400</v>
      </c>
    </row>
    <row r="27" spans="2:15" x14ac:dyDescent="0.3">
      <c r="B27" s="5" t="s">
        <v>85</v>
      </c>
      <c r="C27" t="s">
        <v>92</v>
      </c>
    </row>
    <row r="28" spans="2:15" x14ac:dyDescent="0.3">
      <c r="B28" s="6" t="s">
        <v>91</v>
      </c>
      <c r="C28" s="4"/>
    </row>
    <row r="29" spans="2:15" x14ac:dyDescent="0.3">
      <c r="B29" s="7" t="s">
        <v>88</v>
      </c>
      <c r="C29" s="4">
        <v>9</v>
      </c>
    </row>
    <row r="30" spans="2:15" x14ac:dyDescent="0.3">
      <c r="B30" s="7" t="s">
        <v>89</v>
      </c>
      <c r="C30" s="4">
        <v>8</v>
      </c>
    </row>
    <row r="31" spans="2:15" x14ac:dyDescent="0.3">
      <c r="B31" s="7" t="s">
        <v>90</v>
      </c>
      <c r="C31" s="4">
        <v>3</v>
      </c>
    </row>
    <row r="32" spans="2:15" x14ac:dyDescent="0.3">
      <c r="B32" s="6" t="s">
        <v>86</v>
      </c>
      <c r="C32" s="4">
        <v>20</v>
      </c>
      <c r="N32" t="s">
        <v>84</v>
      </c>
      <c r="O32" t="s">
        <v>93</v>
      </c>
    </row>
    <row r="33" spans="14:15" x14ac:dyDescent="0.3">
      <c r="N33" s="4">
        <v>88400</v>
      </c>
      <c r="O33" s="4">
        <v>403000</v>
      </c>
    </row>
    <row r="53" spans="4:5" x14ac:dyDescent="0.3">
      <c r="D53" s="5" t="s">
        <v>85</v>
      </c>
      <c r="E53" t="s">
        <v>82</v>
      </c>
    </row>
    <row r="54" spans="4:5" x14ac:dyDescent="0.3">
      <c r="D54" s="6" t="s">
        <v>23</v>
      </c>
      <c r="E54" s="4">
        <v>3</v>
      </c>
    </row>
    <row r="55" spans="4:5" x14ac:dyDescent="0.3">
      <c r="D55" s="6" t="s">
        <v>38</v>
      </c>
      <c r="E55" s="4">
        <v>3</v>
      </c>
    </row>
    <row r="56" spans="4:5" x14ac:dyDescent="0.3">
      <c r="D56" s="6" t="s">
        <v>42</v>
      </c>
      <c r="E56" s="4">
        <v>1</v>
      </c>
    </row>
    <row r="57" spans="4:5" x14ac:dyDescent="0.3">
      <c r="D57" s="6" t="s">
        <v>27</v>
      </c>
      <c r="E57" s="4">
        <v>3</v>
      </c>
    </row>
    <row r="58" spans="4:5" x14ac:dyDescent="0.3">
      <c r="D58" s="6" t="s">
        <v>33</v>
      </c>
      <c r="E58" s="4">
        <v>3</v>
      </c>
    </row>
    <row r="59" spans="4:5" x14ac:dyDescent="0.3">
      <c r="D59" s="6" t="s">
        <v>17</v>
      </c>
      <c r="E59" s="4">
        <v>4</v>
      </c>
    </row>
    <row r="60" spans="4:5" x14ac:dyDescent="0.3">
      <c r="D60" s="6" t="s">
        <v>11</v>
      </c>
      <c r="E60" s="4">
        <v>3</v>
      </c>
    </row>
    <row r="61" spans="4:5" x14ac:dyDescent="0.3">
      <c r="D61" s="6" t="s">
        <v>86</v>
      </c>
      <c r="E61" s="4">
        <v>20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B2CA-43DE-40CE-BB42-0F38ED9EAA40}">
  <dimension ref="D2:G2"/>
  <sheetViews>
    <sheetView showGridLines="0" tabSelected="1" workbookViewId="0">
      <selection activeCell="U18" sqref="U18"/>
    </sheetView>
  </sheetViews>
  <sheetFormatPr defaultRowHeight="14.4" x14ac:dyDescent="0.3"/>
  <cols>
    <col min="4" max="4" width="5.33203125" customWidth="1"/>
  </cols>
  <sheetData>
    <row r="2" spans="4:7" ht="24.6" customHeight="1" x14ac:dyDescent="0.85">
      <c r="D2" s="8"/>
      <c r="E2" s="8"/>
      <c r="F2" s="8"/>
      <c r="G2"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Scam Raw Data</vt:lpstr>
      <vt:lpstr>Pivot 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Manaswini Bingi</dc:creator>
  <cp:lastModifiedBy>Manaswini Bingi</cp:lastModifiedBy>
  <dcterms:created xsi:type="dcterms:W3CDTF">2015-06-05T18:17:20Z</dcterms:created>
  <dcterms:modified xsi:type="dcterms:W3CDTF">2026-10-21T11:59:24Z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b_sd_s">
    <vt:lpwstr>unknown</vt:lpwstr>
  </property>
  <property fmtid="{D5CDD505-2E9C-101B-9397-08002B2CF9AE}" pid="3" name="_ab_sd_r">
    <vt:lpwstr/>
  </property>
</Properties>
</file>